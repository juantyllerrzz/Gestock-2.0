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5C97C93-D94F-4726-B137-6AD22B8F234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Resumen General" sheetId="1" r:id="rId1"/>
    <sheet name="Sprint 1" sheetId="2" r:id="rId2"/>
    <sheet name="Sprint 2" sheetId="3" r:id="rId3"/>
    <sheet name="Sprint 3" sheetId="4" r:id="rId4"/>
    <sheet name="Sprint 4" sheetId="5" r:id="rId5"/>
    <sheet name="Sprint 5" sheetId="6" r:id="rId6"/>
    <sheet name="Sprint 6" sheetId="7" r:id="rId7"/>
    <sheet name="Sprint 7" sheetId="8" r:id="rId8"/>
    <sheet name="Sprint 8" sheetId="9" r:id="rId9"/>
    <sheet name="Backlog CRUD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1" i="10" l="1"/>
  <c r="E31" i="10"/>
  <c r="H10" i="9"/>
  <c r="H10" i="8"/>
  <c r="H9" i="7"/>
  <c r="H10" i="6"/>
  <c r="H9" i="5"/>
  <c r="H9" i="4"/>
  <c r="H10" i="3"/>
  <c r="H9" i="2"/>
  <c r="E22" i="1"/>
  <c r="D22" i="1"/>
  <c r="C22" i="1"/>
  <c r="F22" i="1" s="1"/>
  <c r="F21" i="1"/>
  <c r="F20" i="1"/>
  <c r="F19" i="1"/>
  <c r="F18" i="1"/>
  <c r="F17" i="1"/>
  <c r="F16" i="1"/>
  <c r="F15" i="1"/>
  <c r="F14" i="1"/>
</calcChain>
</file>

<file path=xl/sharedStrings.xml><?xml version="1.0" encoding="utf-8"?>
<sst xmlns="http://schemas.openxmlformats.org/spreadsheetml/2006/main" count="490" uniqueCount="144">
  <si>
    <t>GESTOCK – Cálculo de Horas por Sprint (Formato CRUD)</t>
  </si>
  <si>
    <t>Proyecto: Gestión de Inventarios  |  Equipo: 3 integrantes  |  4 h/día/integrante  |  Revisión 1</t>
  </si>
  <si>
    <t>Integrantes (3):</t>
  </si>
  <si>
    <t>Horas/día por integrante:</t>
  </si>
  <si>
    <t>4 horas</t>
  </si>
  <si>
    <t>Capacidad por sprint:</t>
  </si>
  <si>
    <t>Integrantes (3) × Días del sprint × 4 h/día</t>
  </si>
  <si>
    <t>Velocidad:</t>
  </si>
  <si>
    <t>Story Points totales ÷ Capacidad total (horas)</t>
  </si>
  <si>
    <t>Metodología:</t>
  </si>
  <si>
    <t>Scrum – 8 Sprints organizados por operación CRUD</t>
  </si>
  <si>
    <t>LEYENDA CRUD</t>
  </si>
  <si>
    <t>C</t>
  </si>
  <si>
    <t>CREATE – Alta / Registro</t>
  </si>
  <si>
    <t>R</t>
  </si>
  <si>
    <t>READ   – Consulta / Lectura</t>
  </si>
  <si>
    <t>U</t>
  </si>
  <si>
    <t>UPDATE – Edición / Actualización</t>
  </si>
  <si>
    <t>D</t>
  </si>
  <si>
    <t>Sprint</t>
  </si>
  <si>
    <t>Nombre del Sprint</t>
  </si>
  <si>
    <t>Story Points</t>
  </si>
  <si>
    <t>Días</t>
  </si>
  <si>
    <t>Cap. Total (h)</t>
  </si>
  <si>
    <t>Velocidad (SP/h)</t>
  </si>
  <si>
    <t>Estado</t>
  </si>
  <si>
    <t>Registro Base – Productos, Proveedores y Empleados</t>
  </si>
  <si>
    <t>Planificado</t>
  </si>
  <si>
    <t>Consulta y Búsqueda – Lectura General del Sistema</t>
  </si>
  <si>
    <t>Edición – Actualización de Productos, Proveedores y Empleados</t>
  </si>
  <si>
    <t>Eliminación – Baja de Registros del Sistema</t>
  </si>
  <si>
    <t>Control de Acceso, Roles y Seguridad</t>
  </si>
  <si>
    <t>Alertas y Notificaciones Automáticas</t>
  </si>
  <si>
    <t>Control de Movimientos e Inventario Operativo</t>
  </si>
  <si>
    <t>Reportes, Administración de Turnos y Cierre</t>
  </si>
  <si>
    <t>TOTAL PROYECTO</t>
  </si>
  <si>
    <t>SPRINT 1 – Registro Base – Productos, Proveedores y Empleados</t>
  </si>
  <si>
    <t>Objetivo: Implementar CREATE de las entidades principales del sistema</t>
  </si>
  <si>
    <t>Integrantes: 3  |  Horas/día por integrante: 4 h  |  Capacidad = Integrantes × Días × Horas/día</t>
  </si>
  <si>
    <t>#</t>
  </si>
  <si>
    <t>CRUD</t>
  </si>
  <si>
    <t>Historia de Usuario</t>
  </si>
  <si>
    <t>Puntos
(SP)</t>
  </si>
  <si>
    <t>Integrantes</t>
  </si>
  <si>
    <t>Cap. Total
(Horas)</t>
  </si>
  <si>
    <t>Descripción / Criterios de Aceptación</t>
  </si>
  <si>
    <t>H1</t>
  </si>
  <si>
    <t>Registrar nuevo producto en el inventario</t>
  </si>
  <si>
    <t>RF1 – Admin completa formulario: nombre, SKU, categoría, precio compra/venta, cantidad inicial, proveedor. Sistema confirma y muestra en listado.
Criterio: producto visible en inventario con todos los campos obligatorios.</t>
  </si>
  <si>
    <t>H2</t>
  </si>
  <si>
    <t>Registrar proveedor con datos de contacto</t>
  </si>
  <si>
    <t>H3</t>
  </si>
  <si>
    <t>Registrar empleado con credenciales de acceso</t>
  </si>
  <si>
    <t>RF5 – Admin ingresa nombre, identificación, cargo, horario y credenciales. Sistema confirma registro.
Criterio: empleado aparece en lista general con su rol asignado.</t>
  </si>
  <si>
    <t>TOTAL SPRINT</t>
  </si>
  <si>
    <t>Velocidad: SP/h = 26 / [G9]</t>
  </si>
  <si>
    <t>Velocidad = Story Points totales ÷ Capacidad total horas.  Metodología: Scrum</t>
  </si>
  <si>
    <t>SPRINT 2 – Consulta y Búsqueda – Lectura General del Sistema</t>
  </si>
  <si>
    <t>Objetivo: Implementar READ completo: búsqueda, listados y visualización de fichas</t>
  </si>
  <si>
    <t>Consultar y buscar productos por nombre o código</t>
  </si>
  <si>
    <t>RF1/CD12 – Usuario ingresa texto de búsqueda (parcial o completo). Sistema muestra coincidencias en &lt;3 s.
Criterio: búsqueda funcional por nombre y por SKU.</t>
  </si>
  <si>
    <t>Visualizar listado completo del inventario</t>
  </si>
  <si>
    <t>CD7 – Sistema muestra tabla paginada con todos los productos, cantidad, estado y categoría.
Criterio: listado carga en &lt;3 s con filtros por categoría y estado.</t>
  </si>
  <si>
    <t>Consultar ficha de proveedor y su historial</t>
  </si>
  <si>
    <t>RF8 – Usuario selecciona proveedor y visualiza datos de contacto + historial de entregas.
Criterio: información desplegada correctamente sin errores.</t>
  </si>
  <si>
    <t>H4</t>
  </si>
  <si>
    <t>Visualizar listado de empleados registrados</t>
  </si>
  <si>
    <t>RF5 – Admin consulta lista de empleados con cargo, horario y estado activo/inactivo.
Criterio: lista carga en &lt;3 s.</t>
  </si>
  <si>
    <t>Velocidad: SP/h = 19 / [G10]</t>
  </si>
  <si>
    <t>SPRINT 3 – Edición – Actualización de Productos, Proveedores y Empleados</t>
  </si>
  <si>
    <t>Objetivo: Implementar UPDATE sobre las entidades registradas en Sprint 1</t>
  </si>
  <si>
    <t>Editar información de un producto existente</t>
  </si>
  <si>
    <t>RF2/CD10 – Usuario selecciona producto, modifica campos (precio, cantidad, descripción) y guarda. Sistema confirma cambios.
Criterio: cambios reflejados de inmediato en el inventario.</t>
  </si>
  <si>
    <t>Actualizar datos de proveedor</t>
  </si>
  <si>
    <t>RF8 – Admin edita campos del proveedor y guarda. Sistema confirma actualización.
Criterio: datos actualizados visibles en la ficha del proveedor.</t>
  </si>
  <si>
    <t>Actualizar información personal y horario de empleado</t>
  </si>
  <si>
    <t>RF5 – Admin modifica cargo, horario o credenciales de un empleado. Sistema guarda cambios.
Criterio: información actualizada reflejada en el módulo de empleados.</t>
  </si>
  <si>
    <t>Velocidad: SP/h = 11 / [G9]</t>
  </si>
  <si>
    <t>Objetivo: Implementar DELETE con confirmación y trazabilidad en log de auditoría</t>
  </si>
  <si>
    <t>Eliminar producto inactivo o descontinuado del inventario</t>
  </si>
  <si>
    <t>RF2/CD9 – Admin selecciona producto y confirma eliminación. Sistema borra y actualiza listado automáticamente.
Criterio: producto ya no aparece en inventario ni en búsquedas.</t>
  </si>
  <si>
    <t>Eliminar proveedor inactivo del sistema</t>
  </si>
  <si>
    <t>RF8 – Admin selecciona proveedor inactivo, confirma la baja. Sistema elimina y actualiza lista.
Criterio: proveedor eliminado no aparece en ningún módulo.</t>
  </si>
  <si>
    <t>Deshabilitar o eliminar usuario del sistema</t>
  </si>
  <si>
    <t>RNF-Seg1 – Admin selecciona usuario, confirma eliminación. Sistema registra baja en log de auditoría.
Criterio: usuario no puede iniciar sesión tras la eliminación.</t>
  </si>
  <si>
    <t>Velocidad: SP/h = 9 / [G9]</t>
  </si>
  <si>
    <t>SPRINT 5 – Control de Acceso, Roles y Seguridad</t>
  </si>
  <si>
    <t>Objetivo: Gestionar usuarios, roles, permisos y auditoría de actividad</t>
  </si>
  <si>
    <t>Crear usuarios y asignar roles (Admin / Empleado / Vendedor)</t>
  </si>
  <si>
    <t>RNF-Seg1/CD6 – Admin crea cuenta, asigna rol y permisos. Sistema restringe acceso según perfil.
Criterio: cada rol accede únicamente a sus módulos permitidos.</t>
  </si>
  <si>
    <t>Actualizar permisos y rol de usuario existente</t>
  </si>
  <si>
    <t>CD6 – Admin modifica rol de un usuario. Sistema aplica cambios inmediatamente.
Criterio: el usuario afectado ve su acceso actualizado al recargar sesión.</t>
  </si>
  <si>
    <t>Consultar log de auditorías y actividad del sistema</t>
  </si>
  <si>
    <t>RNF-Seg2/3 – Admin accede al módulo Auditorías y ve historial de acciones (fecha, hora, usuario, tipo). Carga en &lt;3 s.
Criterio: cada acción registrada con trazabilidad completa.</t>
  </si>
  <si>
    <t>Registrar y consultar historial de asistencia de empleados</t>
  </si>
  <si>
    <t>RF6/CD3 – Empleado marca entrada/salida. Sistema guarda hora exacta. Admin consulta historial.
Criterio: registro automático al iniciar sesión; consultable por admin.</t>
  </si>
  <si>
    <t>Velocidad: SP/h = 21 / [G10]</t>
  </si>
  <si>
    <t>SPRINT 6 – Alertas y Notificaciones Automáticas</t>
  </si>
  <si>
    <t>Objetivo: Implementar sistema de alertas de stock bajo y vencimiento de productos</t>
  </si>
  <si>
    <t>Visualizar alertas de stock bajo en tiempo real</t>
  </si>
  <si>
    <t>RF3/CD2 – Sistema genera alerta visual cuando stock baja del umbral configurado. Usuario la ve al ingresar o como mensaje emergente.
Criterio: alerta generada automáticamente al alcanzar límite mínimo.</t>
  </si>
  <si>
    <t>Visualizar alertas de productos próximos a vencer</t>
  </si>
  <si>
    <t>RF11/CD4 – Sistema detecta productos con fecha de vencimiento próxima y genera alerta automática.
Criterio: alerta activada con anticipación configurable (ej. 7 días antes).</t>
  </si>
  <si>
    <t>Configurar condiciones de notificaciones automáticas</t>
  </si>
  <si>
    <t>RF11 – Admin define umbrales (stock mínimo, días de anticipación para vencimiento). Sistema aplica configuración.
Criterio: notificaciones disparadas correctamente al cumplirse la condición.</t>
  </si>
  <si>
    <t>Velocidad: SP/h = 21 / [G9]</t>
  </si>
  <si>
    <t>SPRINT 7 – Control de Movimientos e Inventario Operativo</t>
  </si>
  <si>
    <t>Objetivo: Registrar y consultar entradas/salidas de productos; visualizar metas de ventas</t>
  </si>
  <si>
    <t>Registrar movimiento de entrada de productos al inventario</t>
  </si>
  <si>
    <t>RF9/CD11 – Usuario indica producto, cantidad, fecha, hora y motivo de la entrada. Sistema actualiza stock en tiempo real.
Criterio: stock total actualizado inmediatamente tras el registro.</t>
  </si>
  <si>
    <t>Registrar movimiento de salida de productos del inventario</t>
  </si>
  <si>
    <t>RF9 – Usuario registra salida con producto, cantidad, motivo y fecha. Sistema descuenta del stock disponible.
Criterio: movimiento reflejado en historial y stock actualizado.</t>
  </si>
  <si>
    <t>Consultar historial de movimientos con filtros (fecha/tipo)</t>
  </si>
  <si>
    <t>RF9 – Usuario filtra movimientos por tipo (entrada/salida) o rango de fechas. Resultados en &lt;3 s.
Criterio: filtros funcionales con exportación disponible.</t>
  </si>
  <si>
    <t>Visualizar meta de ventas y progreso del período</t>
  </si>
  <si>
    <t>CD5 – Panel con ventas realizadas y porcentaje de cumplimiento de la meta. Actualizado en tiempo real.
Criterio: dashboard visible con indicador de progreso correcto.</t>
  </si>
  <si>
    <t>Velocidad: SP/h = 24 / [G10]</t>
  </si>
  <si>
    <t>SPRINT 8 – Reportes, Administración de Turnos y Cierre</t>
  </si>
  <si>
    <t>Objetivo: Generar reportes avanzados, administrar turnos y eliminar registros obsoletos</t>
  </si>
  <si>
    <t>Generar reporte de inventario (PDF / Excel)</t>
  </si>
  <si>
    <t>RF7/CD7 – Usuario selecciona tipo de reporte, rango de fechas y filtra por categoría. Sistema genera en &lt;5 s (hasta 5.000 registros). Exportable en PDF o Excel.
Criterio: reporte descargable con datos correctos.</t>
  </si>
  <si>
    <t>Generar reportes filtrados de movimientos y productos</t>
  </si>
  <si>
    <t>RF7/CD8 – Reportes con filtros por fecha, categoría, tipo de movimiento y almacén. Descargables.
Criterio: reporte generado en &lt;5 s con filtros aplicados correctamente.</t>
  </si>
  <si>
    <t>Registrar y administrar turnos de empleados</t>
  </si>
  <si>
    <t>RF4 – Admin ingresa al módulo Turnos, registra empleado asignado, horario entrada/salida, rol y fecha. Sistema almacena el turno.
Criterio: turno visible en módulo con todos los datos correctos.</t>
  </si>
  <si>
    <t>Eliminar turnos y registros de asistencia obsoletos</t>
  </si>
  <si>
    <t>RF4 – Admin selecciona turnos antiguos y confirma eliminación. Sistema actualiza módulo de turnos.
Criterio: turnos eliminados no aparecen en consultas posteriores.</t>
  </si>
  <si>
    <t>Velocidad: SP/h = 26 / [G10]</t>
  </si>
  <si>
    <t>GESTOCK – Product Backlog Completo  |  3 Integrantes  |  Formato CRUD</t>
  </si>
  <si>
    <t>SP</t>
  </si>
  <si>
    <t>Referencia</t>
  </si>
  <si>
    <t>Cap.(h)</t>
  </si>
  <si>
    <t>Prioridad</t>
  </si>
  <si>
    <t>RF/CD</t>
  </si>
  <si>
    <t>Alta</t>
  </si>
  <si>
    <t>TOTAL</t>
  </si>
  <si>
    <t>w</t>
  </si>
  <si>
    <t>Leer</t>
  </si>
  <si>
    <t>Actualizar</t>
  </si>
  <si>
    <t>Eliminar</t>
  </si>
  <si>
    <t>Crear</t>
  </si>
  <si>
    <t>Maria Paula Cárdenas  · Julian David Murillo Puentes  ·  Juan Vásquez</t>
  </si>
  <si>
    <t>RF8 – Admin ingresa nombre, dirección, teléfono, productos suministrados. Sistema guarda y muestra en lista de proveedores.
Criterio: proveedor consultable y vinculable a productos.</t>
  </si>
  <si>
    <t>Horas por 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</si>
</sst>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8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2E75B6"/>
      <name val="Arial"/>
      <charset val="1"/>
    </font>
    <font>
      <b/>
      <sz val="13"/>
      <color rgb="FFFFFFFF"/>
      <name val="Arial"/>
      <charset val="1"/>
    </font>
    <font>
      <sz val="8"/>
      <color rgb="FF595959"/>
      <name val="Arial"/>
      <charset val="1"/>
    </font>
    <font>
      <sz val="8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595959"/>
        <bgColor rgb="FF333333"/>
      </patternFill>
    </fill>
    <fill>
      <patternFill patternType="solid">
        <fgColor rgb="FFBDD7EE"/>
        <bgColor rgb="FFC6EFCE"/>
      </patternFill>
    </fill>
    <fill>
      <patternFill patternType="solid">
        <fgColor rgb="FFC6EFCE"/>
        <bgColor rgb="FFCCFFFF"/>
      </patternFill>
    </fill>
    <fill>
      <patternFill patternType="solid">
        <fgColor rgb="FFFCE4D6"/>
        <bgColor rgb="FFFFDADA"/>
      </patternFill>
    </fill>
    <fill>
      <patternFill patternType="solid">
        <fgColor rgb="FFFFDA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</fills>
  <borders count="5">
    <border>
      <left/>
      <right/>
      <top/>
      <bottom/>
      <diagonal/>
    </border>
    <border>
      <left style="medium">
        <color rgb="FF1B3A6B"/>
      </left>
      <right/>
      <top style="medium">
        <color rgb="FF1B3A6B"/>
      </top>
      <bottom style="medium">
        <color rgb="FF1B3A6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4" borderId="2" xfId="0" applyFill="1" applyBorder="1"/>
    <xf numFmtId="0" fontId="3" fillId="4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/>
    </xf>
    <xf numFmtId="164" fontId="4" fillId="11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11" fillId="4" borderId="0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DADA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zoomScaleNormal="100" workbookViewId="0">
      <selection activeCell="H28" sqref="H28"/>
    </sheetView>
  </sheetViews>
  <sheetFormatPr baseColWidth="10" defaultColWidth="8.7109375" defaultRowHeight="15" x14ac:dyDescent="0.25"/>
  <cols>
    <col min="1" max="1" width="5" customWidth="1"/>
    <col min="2" max="2" width="36" customWidth="1"/>
    <col min="3" max="3" width="12" customWidth="1"/>
    <col min="4" max="4" width="10" customWidth="1"/>
    <col min="5" max="5" width="14" customWidth="1"/>
    <col min="6" max="6" width="12" customWidth="1"/>
    <col min="7" max="7" width="16" customWidth="1"/>
  </cols>
  <sheetData>
    <row r="1" spans="1:7" ht="37.5" customHeight="1" x14ac:dyDescent="0.25">
      <c r="A1" s="38" t="s">
        <v>0</v>
      </c>
      <c r="B1" s="38"/>
      <c r="C1" s="38"/>
      <c r="D1" s="38"/>
      <c r="E1" s="38"/>
      <c r="F1" s="38"/>
      <c r="G1" s="38"/>
    </row>
    <row r="2" spans="1:7" ht="19.5" customHeight="1" x14ac:dyDescent="0.25">
      <c r="A2" s="39" t="s">
        <v>1</v>
      </c>
      <c r="B2" s="39"/>
      <c r="C2" s="39"/>
      <c r="D2" s="39"/>
      <c r="E2" s="39"/>
      <c r="F2" s="39"/>
      <c r="G2" s="39"/>
    </row>
    <row r="4" spans="1:7" ht="18" customHeight="1" x14ac:dyDescent="0.25">
      <c r="A4" s="1"/>
      <c r="B4" s="2" t="s">
        <v>2</v>
      </c>
      <c r="C4" s="35" t="s">
        <v>141</v>
      </c>
      <c r="D4" s="35"/>
      <c r="E4" s="35"/>
      <c r="F4" s="35"/>
      <c r="G4" s="35"/>
    </row>
    <row r="5" spans="1:7" ht="18" customHeight="1" x14ac:dyDescent="0.25">
      <c r="A5" s="1"/>
      <c r="B5" s="2" t="s">
        <v>3</v>
      </c>
      <c r="C5" s="35" t="s">
        <v>4</v>
      </c>
      <c r="D5" s="35"/>
      <c r="E5" s="35"/>
      <c r="F5" s="35"/>
      <c r="G5" s="35"/>
    </row>
    <row r="6" spans="1:7" ht="18" customHeight="1" x14ac:dyDescent="0.25">
      <c r="A6" s="1"/>
      <c r="B6" s="2" t="s">
        <v>5</v>
      </c>
      <c r="C6" s="35" t="s">
        <v>6</v>
      </c>
      <c r="D6" s="35"/>
      <c r="E6" s="35"/>
      <c r="F6" s="35"/>
      <c r="G6" s="35"/>
    </row>
    <row r="7" spans="1:7" ht="18" customHeight="1" x14ac:dyDescent="0.25">
      <c r="A7" s="1"/>
      <c r="B7" s="2" t="s">
        <v>7</v>
      </c>
      <c r="C7" s="35" t="s">
        <v>8</v>
      </c>
      <c r="D7" s="35"/>
      <c r="E7" s="35"/>
      <c r="F7" s="35"/>
      <c r="G7" s="35"/>
    </row>
    <row r="8" spans="1:7" ht="18" customHeight="1" x14ac:dyDescent="0.25">
      <c r="A8" s="1"/>
      <c r="B8" s="2" t="s">
        <v>9</v>
      </c>
      <c r="C8" s="35" t="s">
        <v>10</v>
      </c>
      <c r="D8" s="35"/>
      <c r="E8" s="35"/>
      <c r="F8" s="35"/>
      <c r="G8" s="35"/>
    </row>
    <row r="10" spans="1:7" ht="19.5" customHeight="1" x14ac:dyDescent="0.25">
      <c r="A10" s="36" t="s">
        <v>11</v>
      </c>
      <c r="B10" s="36"/>
      <c r="C10" s="36"/>
      <c r="D10" s="36"/>
      <c r="E10" s="36"/>
      <c r="F10" s="36"/>
      <c r="G10" s="36"/>
    </row>
    <row r="11" spans="1:7" ht="18" customHeight="1" x14ac:dyDescent="0.25">
      <c r="A11" s="3" t="s">
        <v>12</v>
      </c>
      <c r="B11" s="4" t="s">
        <v>13</v>
      </c>
      <c r="C11" s="5" t="s">
        <v>14</v>
      </c>
      <c r="D11" s="6" t="s">
        <v>15</v>
      </c>
      <c r="E11" s="7" t="s">
        <v>16</v>
      </c>
      <c r="F11" s="8" t="s">
        <v>17</v>
      </c>
      <c r="G11" s="9" t="s">
        <v>18</v>
      </c>
    </row>
    <row r="13" spans="1:7" ht="21.75" customHeight="1" x14ac:dyDescent="0.25">
      <c r="A13" s="10" t="s">
        <v>19</v>
      </c>
      <c r="B13" s="10" t="s">
        <v>20</v>
      </c>
      <c r="C13" s="10" t="s">
        <v>21</v>
      </c>
      <c r="D13" s="10" t="s">
        <v>22</v>
      </c>
      <c r="E13" s="10" t="s">
        <v>23</v>
      </c>
      <c r="F13" s="10" t="s">
        <v>24</v>
      </c>
      <c r="G13" s="10" t="s">
        <v>25</v>
      </c>
    </row>
    <row r="14" spans="1:7" ht="25.5" customHeight="1" x14ac:dyDescent="0.25">
      <c r="A14" s="11">
        <v>1</v>
      </c>
      <c r="B14" s="12" t="s">
        <v>26</v>
      </c>
      <c r="C14" s="13">
        <v>26</v>
      </c>
      <c r="D14" s="14">
        <v>22</v>
      </c>
      <c r="E14" s="14">
        <v>264</v>
      </c>
      <c r="F14" s="15">
        <f t="shared" ref="F14:F22" si="0">C14/E14</f>
        <v>9.8484848484848481E-2</v>
      </c>
      <c r="G14" s="16" t="s">
        <v>27</v>
      </c>
    </row>
    <row r="15" spans="1:7" ht="25.5" customHeight="1" x14ac:dyDescent="0.25">
      <c r="A15" s="17">
        <v>2</v>
      </c>
      <c r="B15" s="18" t="s">
        <v>28</v>
      </c>
      <c r="C15" s="13">
        <v>19</v>
      </c>
      <c r="D15" s="19">
        <v>16</v>
      </c>
      <c r="E15" s="19">
        <v>192</v>
      </c>
      <c r="F15" s="20">
        <f t="shared" si="0"/>
        <v>9.8958333333333329E-2</v>
      </c>
      <c r="G15" s="21" t="s">
        <v>27</v>
      </c>
    </row>
    <row r="16" spans="1:7" ht="25.5" customHeight="1" x14ac:dyDescent="0.25">
      <c r="A16" s="11">
        <v>3</v>
      </c>
      <c r="B16" s="12" t="s">
        <v>29</v>
      </c>
      <c r="C16" s="13">
        <v>11</v>
      </c>
      <c r="D16" s="14">
        <v>10</v>
      </c>
      <c r="E16" s="14">
        <v>120</v>
      </c>
      <c r="F16" s="15">
        <f t="shared" si="0"/>
        <v>9.166666666666666E-2</v>
      </c>
      <c r="G16" s="16" t="s">
        <v>27</v>
      </c>
    </row>
    <row r="17" spans="1:7" ht="25.5" customHeight="1" x14ac:dyDescent="0.25">
      <c r="A17" s="17">
        <v>4</v>
      </c>
      <c r="B17" s="18" t="s">
        <v>30</v>
      </c>
      <c r="C17" s="13">
        <v>9</v>
      </c>
      <c r="D17" s="19">
        <v>6</v>
      </c>
      <c r="E17" s="19">
        <v>72</v>
      </c>
      <c r="F17" s="20">
        <f t="shared" si="0"/>
        <v>0.125</v>
      </c>
      <c r="G17" s="21" t="s">
        <v>27</v>
      </c>
    </row>
    <row r="18" spans="1:7" ht="25.5" customHeight="1" x14ac:dyDescent="0.25">
      <c r="A18" s="11">
        <v>5</v>
      </c>
      <c r="B18" s="12" t="s">
        <v>31</v>
      </c>
      <c r="C18" s="13">
        <v>21</v>
      </c>
      <c r="D18" s="14">
        <v>18</v>
      </c>
      <c r="E18" s="14">
        <v>216</v>
      </c>
      <c r="F18" s="15">
        <f t="shared" si="0"/>
        <v>9.7222222222222224E-2</v>
      </c>
      <c r="G18" s="16" t="s">
        <v>27</v>
      </c>
    </row>
    <row r="19" spans="1:7" ht="25.5" customHeight="1" x14ac:dyDescent="0.25">
      <c r="A19" s="17">
        <v>6</v>
      </c>
      <c r="B19" s="18" t="s">
        <v>32</v>
      </c>
      <c r="C19" s="13">
        <v>21</v>
      </c>
      <c r="D19" s="19">
        <v>16</v>
      </c>
      <c r="E19" s="19">
        <v>192</v>
      </c>
      <c r="F19" s="20">
        <f t="shared" si="0"/>
        <v>0.109375</v>
      </c>
      <c r="G19" s="21" t="s">
        <v>27</v>
      </c>
    </row>
    <row r="20" spans="1:7" ht="25.5" customHeight="1" x14ac:dyDescent="0.25">
      <c r="A20" s="11">
        <v>7</v>
      </c>
      <c r="B20" s="12" t="s">
        <v>33</v>
      </c>
      <c r="C20" s="13">
        <v>24</v>
      </c>
      <c r="D20" s="14">
        <v>19</v>
      </c>
      <c r="E20" s="14">
        <v>228</v>
      </c>
      <c r="F20" s="15">
        <f t="shared" si="0"/>
        <v>0.10526315789473684</v>
      </c>
      <c r="G20" s="16" t="s">
        <v>27</v>
      </c>
    </row>
    <row r="21" spans="1:7" ht="25.5" customHeight="1" x14ac:dyDescent="0.25">
      <c r="A21" s="17">
        <v>8</v>
      </c>
      <c r="B21" s="18" t="s">
        <v>34</v>
      </c>
      <c r="C21" s="13">
        <v>26</v>
      </c>
      <c r="D21" s="19">
        <v>20</v>
      </c>
      <c r="E21" s="19">
        <v>240</v>
      </c>
      <c r="F21" s="20">
        <f t="shared" si="0"/>
        <v>0.10833333333333334</v>
      </c>
      <c r="G21" s="21" t="s">
        <v>27</v>
      </c>
    </row>
    <row r="22" spans="1:7" ht="19.5" customHeight="1" x14ac:dyDescent="0.25">
      <c r="A22" s="37" t="s">
        <v>35</v>
      </c>
      <c r="B22" s="37"/>
      <c r="C22" s="22">
        <f>SUM(C14:C21)</f>
        <v>157</v>
      </c>
      <c r="D22" s="22">
        <f>SUM(D14:D21)</f>
        <v>127</v>
      </c>
      <c r="E22" s="22">
        <f>SUM(E14:E21)</f>
        <v>1524</v>
      </c>
      <c r="F22" s="23">
        <f t="shared" si="0"/>
        <v>0.10301837270341208</v>
      </c>
      <c r="G22" s="24"/>
    </row>
  </sheetData>
  <mergeCells count="9">
    <mergeCell ref="C7:G7"/>
    <mergeCell ref="C8:G8"/>
    <mergeCell ref="A10:G10"/>
    <mergeCell ref="A22:B22"/>
    <mergeCell ref="A1:G1"/>
    <mergeCell ref="A2:G2"/>
    <mergeCell ref="C4:G4"/>
    <mergeCell ref="C5:G5"/>
    <mergeCell ref="C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tabSelected="1" zoomScaleNormal="100" workbookViewId="0">
      <selection activeCell="F8" sqref="F8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36" customWidth="1"/>
    <col min="4" max="4" width="10" customWidth="1"/>
    <col min="5" max="5" width="14" customWidth="1"/>
    <col min="6" max="7" width="10" customWidth="1"/>
    <col min="8" max="8" width="14" customWidth="1"/>
    <col min="9" max="9" width="37.28515625" customWidth="1"/>
  </cols>
  <sheetData>
    <row r="1" spans="1:9" ht="36" customHeight="1" x14ac:dyDescent="0.25">
      <c r="A1" s="40" t="s">
        <v>36</v>
      </c>
      <c r="B1" s="40"/>
      <c r="C1" s="40"/>
      <c r="D1" s="40"/>
      <c r="E1" s="40"/>
      <c r="F1" s="40"/>
      <c r="G1" s="40"/>
      <c r="H1" s="40"/>
      <c r="I1" s="40"/>
    </row>
    <row r="2" spans="1:9" ht="21.75" customHeight="1" x14ac:dyDescent="0.25">
      <c r="A2" s="41" t="s">
        <v>37</v>
      </c>
      <c r="B2" s="41"/>
      <c r="C2" s="41"/>
      <c r="D2" s="41"/>
      <c r="E2" s="41"/>
      <c r="F2" s="41"/>
      <c r="G2" s="41"/>
      <c r="H2" s="41"/>
      <c r="I2" s="41"/>
    </row>
    <row r="3" spans="1:9" ht="18" customHeight="1" x14ac:dyDescent="0.25">
      <c r="A3" s="25" t="s">
        <v>12</v>
      </c>
      <c r="B3" s="4" t="s">
        <v>140</v>
      </c>
      <c r="C3" s="26" t="s">
        <v>14</v>
      </c>
      <c r="D3" s="6" t="s">
        <v>137</v>
      </c>
      <c r="E3" s="27" t="s">
        <v>16</v>
      </c>
      <c r="F3" s="43" t="s">
        <v>138</v>
      </c>
      <c r="G3" s="44"/>
      <c r="H3" s="28" t="s">
        <v>18</v>
      </c>
      <c r="I3" s="29" t="s">
        <v>139</v>
      </c>
    </row>
    <row r="4" spans="1:9" ht="15.75" customHeight="1" x14ac:dyDescent="0.25">
      <c r="A4" s="42" t="s">
        <v>38</v>
      </c>
      <c r="B4" s="42"/>
      <c r="C4" s="42"/>
      <c r="D4" s="42"/>
      <c r="E4" s="42"/>
      <c r="F4" s="42"/>
      <c r="G4" s="42"/>
      <c r="H4" s="42"/>
      <c r="I4" s="42"/>
    </row>
    <row r="5" spans="1:9" ht="33" customHeight="1" x14ac:dyDescent="0.25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22</v>
      </c>
      <c r="G5" s="10" t="s">
        <v>143</v>
      </c>
      <c r="H5" s="10" t="s">
        <v>44</v>
      </c>
      <c r="I5" s="10" t="s">
        <v>45</v>
      </c>
    </row>
    <row r="6" spans="1:9" ht="57.75" customHeight="1" x14ac:dyDescent="0.25">
      <c r="A6" s="14" t="s">
        <v>46</v>
      </c>
      <c r="B6" s="30" t="s">
        <v>12</v>
      </c>
      <c r="C6" s="18" t="s">
        <v>47</v>
      </c>
      <c r="D6" s="13">
        <v>13</v>
      </c>
      <c r="E6" s="14">
        <v>3</v>
      </c>
      <c r="F6" s="14">
        <v>9</v>
      </c>
      <c r="G6" s="14">
        <v>9</v>
      </c>
      <c r="H6" s="14">
        <v>120</v>
      </c>
      <c r="I6" s="18" t="s">
        <v>48</v>
      </c>
    </row>
    <row r="7" spans="1:9" ht="63.75" customHeight="1" x14ac:dyDescent="0.25">
      <c r="A7" s="14" t="s">
        <v>49</v>
      </c>
      <c r="B7" s="30" t="s">
        <v>12</v>
      </c>
      <c r="C7" s="18" t="s">
        <v>50</v>
      </c>
      <c r="D7" s="13">
        <v>8</v>
      </c>
      <c r="E7" s="14">
        <v>3</v>
      </c>
      <c r="F7" s="14">
        <v>5</v>
      </c>
      <c r="G7" s="14">
        <v>8</v>
      </c>
      <c r="H7" s="14">
        <v>84</v>
      </c>
      <c r="I7" s="18" t="s">
        <v>142</v>
      </c>
    </row>
    <row r="8" spans="1:9" ht="64.5" customHeight="1" x14ac:dyDescent="0.25">
      <c r="A8" s="14" t="s">
        <v>51</v>
      </c>
      <c r="B8" s="30" t="s">
        <v>12</v>
      </c>
      <c r="C8" s="18" t="s">
        <v>52</v>
      </c>
      <c r="D8" s="13">
        <v>5</v>
      </c>
      <c r="E8" s="14">
        <v>3</v>
      </c>
      <c r="F8" s="14">
        <v>5</v>
      </c>
      <c r="G8" s="14">
        <v>7</v>
      </c>
      <c r="H8" s="14">
        <v>60</v>
      </c>
      <c r="I8" s="18" t="s">
        <v>53</v>
      </c>
    </row>
    <row r="9" spans="1:9" ht="57.75" customHeight="1" x14ac:dyDescent="0.25">
      <c r="A9" s="37" t="s">
        <v>54</v>
      </c>
      <c r="B9" s="37"/>
      <c r="C9" s="37"/>
      <c r="D9" s="22">
        <v>26</v>
      </c>
      <c r="E9" s="24"/>
      <c r="F9" s="24"/>
      <c r="G9" s="24"/>
      <c r="H9" s="22">
        <f>SUM(H6:H8)</f>
        <v>264</v>
      </c>
      <c r="I9" s="31" t="s">
        <v>55</v>
      </c>
    </row>
    <row r="10" spans="1:9" ht="13.5" customHeight="1" x14ac:dyDescent="0.25">
      <c r="A10" s="42" t="s">
        <v>56</v>
      </c>
      <c r="B10" s="42"/>
      <c r="C10" s="42"/>
      <c r="D10" s="42"/>
      <c r="E10" s="42"/>
      <c r="F10" s="42"/>
      <c r="G10" s="42"/>
      <c r="H10" s="42"/>
      <c r="I10" s="42"/>
    </row>
  </sheetData>
  <mergeCells count="6">
    <mergeCell ref="A1:I1"/>
    <mergeCell ref="A2:I2"/>
    <mergeCell ref="A4:I4"/>
    <mergeCell ref="A9:C9"/>
    <mergeCell ref="A10:I10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zoomScaleNormal="100" workbookViewId="0">
      <selection activeCell="F10" sqref="F10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36" customWidth="1"/>
    <col min="4" max="4" width="10" customWidth="1"/>
    <col min="5" max="5" width="14" customWidth="1"/>
    <col min="6" max="7" width="10" customWidth="1"/>
    <col min="8" max="8" width="14" customWidth="1"/>
    <col min="9" max="9" width="33.85546875" customWidth="1"/>
  </cols>
  <sheetData>
    <row r="1" spans="1:9" ht="36" customHeight="1" x14ac:dyDescent="0.25">
      <c r="A1" s="40" t="s">
        <v>57</v>
      </c>
      <c r="B1" s="40"/>
      <c r="C1" s="40"/>
      <c r="D1" s="40"/>
      <c r="E1" s="40"/>
      <c r="F1" s="40"/>
      <c r="G1" s="40"/>
      <c r="H1" s="40"/>
      <c r="I1" s="40"/>
    </row>
    <row r="2" spans="1:9" ht="21.75" customHeight="1" x14ac:dyDescent="0.25">
      <c r="A2" s="41" t="s">
        <v>58</v>
      </c>
      <c r="B2" s="41"/>
      <c r="C2" s="41"/>
      <c r="D2" s="41"/>
      <c r="E2" s="41"/>
      <c r="F2" s="41"/>
      <c r="G2" s="41"/>
      <c r="H2" s="41"/>
      <c r="I2" s="41"/>
    </row>
    <row r="3" spans="1:9" ht="18" customHeight="1" x14ac:dyDescent="0.25">
      <c r="A3" s="25" t="s">
        <v>12</v>
      </c>
      <c r="B3" s="4" t="s">
        <v>140</v>
      </c>
      <c r="C3" s="26" t="s">
        <v>14</v>
      </c>
      <c r="D3" s="6" t="s">
        <v>137</v>
      </c>
      <c r="E3" s="27" t="s">
        <v>16</v>
      </c>
      <c r="F3" s="43" t="s">
        <v>138</v>
      </c>
      <c r="G3" s="44"/>
      <c r="H3" s="28" t="s">
        <v>18</v>
      </c>
      <c r="I3" s="29" t="s">
        <v>139</v>
      </c>
    </row>
    <row r="4" spans="1:9" ht="15.75" customHeight="1" x14ac:dyDescent="0.25">
      <c r="A4" s="42" t="s">
        <v>38</v>
      </c>
      <c r="B4" s="42"/>
      <c r="C4" s="42"/>
      <c r="D4" s="42"/>
      <c r="E4" s="42"/>
      <c r="F4" s="42"/>
      <c r="G4" s="42"/>
      <c r="H4" s="42"/>
      <c r="I4" s="42"/>
    </row>
    <row r="5" spans="1:9" ht="32.25" customHeight="1" x14ac:dyDescent="0.25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22</v>
      </c>
      <c r="G5" s="10" t="s">
        <v>143</v>
      </c>
      <c r="H5" s="10" t="s">
        <v>44</v>
      </c>
      <c r="I5" s="10" t="s">
        <v>45</v>
      </c>
    </row>
    <row r="6" spans="1:9" ht="54.75" customHeight="1" x14ac:dyDescent="0.25">
      <c r="A6" s="14" t="s">
        <v>46</v>
      </c>
      <c r="B6" s="32" t="s">
        <v>14</v>
      </c>
      <c r="C6" s="18" t="s">
        <v>59</v>
      </c>
      <c r="D6" s="13">
        <v>8</v>
      </c>
      <c r="E6" s="14">
        <v>3</v>
      </c>
      <c r="F6" s="14">
        <v>5</v>
      </c>
      <c r="G6" s="14">
        <v>7</v>
      </c>
      <c r="H6" s="14">
        <v>72</v>
      </c>
      <c r="I6" s="18" t="s">
        <v>60</v>
      </c>
    </row>
    <row r="7" spans="1:9" ht="69" customHeight="1" x14ac:dyDescent="0.25">
      <c r="A7" s="14" t="s">
        <v>49</v>
      </c>
      <c r="B7" s="32" t="s">
        <v>14</v>
      </c>
      <c r="C7" s="18" t="s">
        <v>61</v>
      </c>
      <c r="D7" s="13">
        <v>5</v>
      </c>
      <c r="E7" s="14">
        <v>3</v>
      </c>
      <c r="F7" s="14">
        <v>4</v>
      </c>
      <c r="G7" s="14">
        <v>6</v>
      </c>
      <c r="H7" s="14">
        <v>48</v>
      </c>
      <c r="I7" s="18" t="s">
        <v>62</v>
      </c>
    </row>
    <row r="8" spans="1:9" ht="57" customHeight="1" x14ac:dyDescent="0.25">
      <c r="A8" s="14" t="s">
        <v>51</v>
      </c>
      <c r="B8" s="32" t="s">
        <v>14</v>
      </c>
      <c r="C8" s="18" t="s">
        <v>63</v>
      </c>
      <c r="D8" s="13">
        <v>3</v>
      </c>
      <c r="E8" s="14">
        <v>3</v>
      </c>
      <c r="F8" s="14">
        <v>2</v>
      </c>
      <c r="G8" s="14">
        <v>6</v>
      </c>
      <c r="H8" s="14">
        <v>36</v>
      </c>
      <c r="I8" s="18" t="s">
        <v>64</v>
      </c>
    </row>
    <row r="9" spans="1:9" ht="58.5" customHeight="1" x14ac:dyDescent="0.25">
      <c r="A9" s="14" t="s">
        <v>65</v>
      </c>
      <c r="B9" s="32" t="s">
        <v>14</v>
      </c>
      <c r="C9" s="18" t="s">
        <v>66</v>
      </c>
      <c r="D9" s="13">
        <v>3</v>
      </c>
      <c r="E9" s="14">
        <v>3</v>
      </c>
      <c r="F9" s="14">
        <v>2</v>
      </c>
      <c r="G9" s="14">
        <v>6</v>
      </c>
      <c r="H9" s="14">
        <v>36</v>
      </c>
      <c r="I9" s="18" t="s">
        <v>67</v>
      </c>
    </row>
    <row r="10" spans="1:9" ht="55.5" customHeight="1" x14ac:dyDescent="0.25">
      <c r="A10" s="37" t="s">
        <v>54</v>
      </c>
      <c r="B10" s="37"/>
      <c r="C10" s="37"/>
      <c r="D10" s="22">
        <v>19</v>
      </c>
      <c r="E10" s="24"/>
      <c r="F10" s="24"/>
      <c r="G10" s="24"/>
      <c r="H10" s="22">
        <f>SUM(H6:H9)</f>
        <v>192</v>
      </c>
      <c r="I10" s="31" t="s">
        <v>68</v>
      </c>
    </row>
    <row r="11" spans="1:9" ht="13.5" customHeight="1" x14ac:dyDescent="0.25">
      <c r="A11" s="42" t="s">
        <v>56</v>
      </c>
      <c r="B11" s="42"/>
      <c r="C11" s="42"/>
      <c r="D11" s="42"/>
      <c r="E11" s="42"/>
      <c r="F11" s="42"/>
      <c r="G11" s="42"/>
      <c r="H11" s="42"/>
      <c r="I11" s="42"/>
    </row>
  </sheetData>
  <mergeCells count="6">
    <mergeCell ref="A1:I1"/>
    <mergeCell ref="A2:I2"/>
    <mergeCell ref="A4:I4"/>
    <mergeCell ref="A10:C10"/>
    <mergeCell ref="A11:I11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zoomScaleNormal="100" workbookViewId="0">
      <selection activeCell="G9" sqref="G9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36" customWidth="1"/>
    <col min="4" max="4" width="10" customWidth="1"/>
    <col min="5" max="5" width="14" customWidth="1"/>
    <col min="6" max="7" width="10" customWidth="1"/>
    <col min="8" max="8" width="14" customWidth="1"/>
    <col min="9" max="9" width="39.140625" customWidth="1"/>
  </cols>
  <sheetData>
    <row r="1" spans="1:9" ht="36" customHeight="1" x14ac:dyDescent="0.25">
      <c r="A1" s="40" t="s">
        <v>69</v>
      </c>
      <c r="B1" s="40"/>
      <c r="C1" s="40"/>
      <c r="D1" s="40"/>
      <c r="E1" s="40"/>
      <c r="F1" s="40"/>
      <c r="G1" s="40"/>
      <c r="H1" s="40"/>
      <c r="I1" s="40"/>
    </row>
    <row r="2" spans="1:9" ht="21.75" customHeight="1" x14ac:dyDescent="0.25">
      <c r="A2" s="41" t="s">
        <v>70</v>
      </c>
      <c r="B2" s="41"/>
      <c r="C2" s="41"/>
      <c r="D2" s="41"/>
      <c r="E2" s="41"/>
      <c r="F2" s="41"/>
      <c r="G2" s="41"/>
      <c r="H2" s="41"/>
      <c r="I2" s="41"/>
    </row>
    <row r="3" spans="1:9" ht="18" customHeight="1" x14ac:dyDescent="0.25">
      <c r="A3" s="25" t="s">
        <v>12</v>
      </c>
      <c r="B3" s="4" t="s">
        <v>140</v>
      </c>
      <c r="C3" s="26" t="s">
        <v>14</v>
      </c>
      <c r="D3" s="6" t="s">
        <v>137</v>
      </c>
      <c r="E3" s="27" t="s">
        <v>16</v>
      </c>
      <c r="F3" s="8" t="s">
        <v>138</v>
      </c>
      <c r="G3" s="8"/>
      <c r="H3" s="28" t="s">
        <v>18</v>
      </c>
      <c r="I3" s="29" t="s">
        <v>139</v>
      </c>
    </row>
    <row r="4" spans="1:9" ht="15.75" customHeight="1" x14ac:dyDescent="0.25">
      <c r="A4" s="42" t="s">
        <v>38</v>
      </c>
      <c r="B4" s="42"/>
      <c r="C4" s="42"/>
      <c r="D4" s="42"/>
      <c r="E4" s="42"/>
      <c r="F4" s="42"/>
      <c r="G4" s="42"/>
      <c r="H4" s="42"/>
      <c r="I4" s="42"/>
    </row>
    <row r="5" spans="1:9" ht="21.75" customHeight="1" x14ac:dyDescent="0.25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22</v>
      </c>
      <c r="G5" s="10"/>
      <c r="H5" s="10" t="s">
        <v>44</v>
      </c>
      <c r="I5" s="10" t="s">
        <v>45</v>
      </c>
    </row>
    <row r="6" spans="1:9" ht="78" customHeight="1" x14ac:dyDescent="0.25">
      <c r="A6" s="14" t="s">
        <v>46</v>
      </c>
      <c r="B6" s="33" t="s">
        <v>16</v>
      </c>
      <c r="C6" s="18" t="s">
        <v>71</v>
      </c>
      <c r="D6" s="13">
        <v>5</v>
      </c>
      <c r="E6" s="14">
        <v>3</v>
      </c>
      <c r="F6" s="14">
        <v>3</v>
      </c>
      <c r="G6" s="14">
        <v>7</v>
      </c>
      <c r="H6" s="14">
        <v>48</v>
      </c>
      <c r="I6" s="18" t="s">
        <v>72</v>
      </c>
    </row>
    <row r="7" spans="1:9" ht="63" customHeight="1" x14ac:dyDescent="0.25">
      <c r="A7" s="14" t="s">
        <v>49</v>
      </c>
      <c r="B7" s="33" t="s">
        <v>16</v>
      </c>
      <c r="C7" s="18" t="s">
        <v>73</v>
      </c>
      <c r="D7" s="13">
        <v>3</v>
      </c>
      <c r="E7" s="14">
        <v>3</v>
      </c>
      <c r="F7" s="14">
        <v>2</v>
      </c>
      <c r="G7" s="14">
        <v>7</v>
      </c>
      <c r="H7" s="14">
        <v>36</v>
      </c>
      <c r="I7" s="18" t="s">
        <v>74</v>
      </c>
    </row>
    <row r="8" spans="1:9" ht="56.25" customHeight="1" x14ac:dyDescent="0.25">
      <c r="A8" s="14" t="s">
        <v>51</v>
      </c>
      <c r="B8" s="33" t="s">
        <v>16</v>
      </c>
      <c r="C8" s="18" t="s">
        <v>75</v>
      </c>
      <c r="D8" s="13">
        <v>3</v>
      </c>
      <c r="E8" s="14">
        <v>3</v>
      </c>
      <c r="F8" s="14">
        <v>2</v>
      </c>
      <c r="G8" s="14">
        <v>7</v>
      </c>
      <c r="H8" s="14">
        <v>36</v>
      </c>
      <c r="I8" s="18" t="s">
        <v>76</v>
      </c>
    </row>
    <row r="9" spans="1:9" ht="52.5" customHeight="1" x14ac:dyDescent="0.25">
      <c r="A9" s="37" t="s">
        <v>54</v>
      </c>
      <c r="B9" s="37"/>
      <c r="C9" s="37"/>
      <c r="D9" s="22">
        <v>11</v>
      </c>
      <c r="E9" s="24"/>
      <c r="F9" s="24"/>
      <c r="G9" s="24"/>
      <c r="H9" s="22">
        <f>SUM(H6:H8)</f>
        <v>120</v>
      </c>
      <c r="I9" s="31" t="s">
        <v>77</v>
      </c>
    </row>
    <row r="10" spans="1:9" ht="13.5" customHeight="1" x14ac:dyDescent="0.25">
      <c r="A10" s="42" t="s">
        <v>56</v>
      </c>
      <c r="B10" s="42"/>
      <c r="C10" s="42"/>
      <c r="D10" s="42"/>
      <c r="E10" s="42"/>
      <c r="F10" s="42"/>
      <c r="G10" s="42"/>
      <c r="H10" s="42"/>
      <c r="I10" s="42"/>
    </row>
  </sheetData>
  <mergeCells count="5">
    <mergeCell ref="A1:I1"/>
    <mergeCell ref="A2:I2"/>
    <mergeCell ref="A4:I4"/>
    <mergeCell ref="A9:C9"/>
    <mergeCell ref="A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zoomScaleNormal="100" workbookViewId="0">
      <selection activeCell="G8" sqref="G8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36" customWidth="1"/>
    <col min="4" max="4" width="10" customWidth="1"/>
    <col min="5" max="5" width="14" customWidth="1"/>
    <col min="6" max="7" width="10" customWidth="1"/>
    <col min="8" max="8" width="14" customWidth="1"/>
    <col min="9" max="9" width="34" customWidth="1"/>
  </cols>
  <sheetData>
    <row r="1" spans="1:9" ht="36" customHeight="1" x14ac:dyDescent="0.25">
      <c r="A1" s="40" t="s">
        <v>136</v>
      </c>
      <c r="B1" s="40"/>
      <c r="C1" s="40"/>
      <c r="D1" s="40"/>
      <c r="E1" s="40"/>
      <c r="F1" s="40"/>
      <c r="G1" s="40"/>
      <c r="H1" s="40"/>
      <c r="I1" s="40"/>
    </row>
    <row r="2" spans="1:9" ht="21.75" customHeight="1" x14ac:dyDescent="0.25">
      <c r="A2" s="41" t="s">
        <v>78</v>
      </c>
      <c r="B2" s="41"/>
      <c r="C2" s="41"/>
      <c r="D2" s="41"/>
      <c r="E2" s="41"/>
      <c r="F2" s="41"/>
      <c r="G2" s="41"/>
      <c r="H2" s="41"/>
      <c r="I2" s="41"/>
    </row>
    <row r="3" spans="1:9" ht="18" customHeight="1" x14ac:dyDescent="0.25">
      <c r="A3" s="25" t="s">
        <v>12</v>
      </c>
      <c r="B3" s="4" t="s">
        <v>140</v>
      </c>
      <c r="C3" s="26" t="s">
        <v>14</v>
      </c>
      <c r="D3" s="6" t="s">
        <v>137</v>
      </c>
      <c r="E3" s="27" t="s">
        <v>16</v>
      </c>
      <c r="F3" s="43" t="s">
        <v>138</v>
      </c>
      <c r="G3" s="44"/>
      <c r="H3" s="28" t="s">
        <v>18</v>
      </c>
      <c r="I3" s="29" t="s">
        <v>139</v>
      </c>
    </row>
    <row r="4" spans="1:9" ht="15.75" customHeight="1" x14ac:dyDescent="0.25">
      <c r="A4" s="42" t="s">
        <v>38</v>
      </c>
      <c r="B4" s="42"/>
      <c r="C4" s="42"/>
      <c r="D4" s="42"/>
      <c r="E4" s="42"/>
      <c r="F4" s="42"/>
      <c r="G4" s="42"/>
      <c r="H4" s="42"/>
      <c r="I4" s="42"/>
    </row>
    <row r="5" spans="1:9" ht="29.25" customHeight="1" x14ac:dyDescent="0.25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22</v>
      </c>
      <c r="G5" s="10" t="s">
        <v>143</v>
      </c>
      <c r="H5" s="10" t="s">
        <v>44</v>
      </c>
      <c r="I5" s="10" t="s">
        <v>45</v>
      </c>
    </row>
    <row r="6" spans="1:9" ht="73.5" customHeight="1" x14ac:dyDescent="0.25">
      <c r="A6" s="14" t="s">
        <v>46</v>
      </c>
      <c r="B6" s="34" t="s">
        <v>18</v>
      </c>
      <c r="C6" s="18" t="s">
        <v>79</v>
      </c>
      <c r="D6" s="13">
        <v>3</v>
      </c>
      <c r="E6" s="14">
        <v>3</v>
      </c>
      <c r="F6" s="14">
        <v>2</v>
      </c>
      <c r="G6" s="14">
        <v>6</v>
      </c>
      <c r="H6" s="14">
        <v>42</v>
      </c>
      <c r="I6" s="18" t="s">
        <v>80</v>
      </c>
    </row>
    <row r="7" spans="1:9" ht="81" customHeight="1" x14ac:dyDescent="0.25">
      <c r="A7" s="14" t="s">
        <v>49</v>
      </c>
      <c r="B7" s="34" t="s">
        <v>18</v>
      </c>
      <c r="C7" s="18" t="s">
        <v>81</v>
      </c>
      <c r="D7" s="13">
        <v>3</v>
      </c>
      <c r="E7" s="14">
        <v>3</v>
      </c>
      <c r="F7" s="14">
        <v>2</v>
      </c>
      <c r="G7" s="14">
        <v>6</v>
      </c>
      <c r="H7" s="14">
        <v>42</v>
      </c>
      <c r="I7" s="18" t="s">
        <v>82</v>
      </c>
    </row>
    <row r="8" spans="1:9" ht="83.25" customHeight="1" x14ac:dyDescent="0.25">
      <c r="A8" s="14" t="s">
        <v>51</v>
      </c>
      <c r="B8" s="34" t="s">
        <v>18</v>
      </c>
      <c r="C8" s="18" t="s">
        <v>83</v>
      </c>
      <c r="D8" s="13">
        <v>3</v>
      </c>
      <c r="E8" s="14">
        <v>3</v>
      </c>
      <c r="F8" s="14">
        <v>2</v>
      </c>
      <c r="G8" s="14">
        <v>6</v>
      </c>
      <c r="H8" s="14">
        <v>42</v>
      </c>
      <c r="I8" s="18" t="s">
        <v>84</v>
      </c>
    </row>
    <row r="9" spans="1:9" ht="59.25" customHeight="1" x14ac:dyDescent="0.25">
      <c r="A9" s="37" t="s">
        <v>54</v>
      </c>
      <c r="B9" s="37"/>
      <c r="C9" s="37"/>
      <c r="D9" s="22">
        <v>9</v>
      </c>
      <c r="E9" s="24"/>
      <c r="F9" s="24"/>
      <c r="G9" s="24"/>
      <c r="H9" s="22">
        <f>SUM(H6:H8)</f>
        <v>126</v>
      </c>
      <c r="I9" s="31" t="s">
        <v>85</v>
      </c>
    </row>
    <row r="10" spans="1:9" ht="13.5" customHeight="1" x14ac:dyDescent="0.25">
      <c r="A10" s="42" t="s">
        <v>56</v>
      </c>
      <c r="B10" s="42"/>
      <c r="C10" s="42"/>
      <c r="D10" s="42"/>
      <c r="E10" s="42"/>
      <c r="F10" s="42"/>
      <c r="G10" s="42"/>
      <c r="H10" s="42"/>
      <c r="I10" s="42"/>
    </row>
  </sheetData>
  <mergeCells count="6">
    <mergeCell ref="A1:I1"/>
    <mergeCell ref="A2:I2"/>
    <mergeCell ref="A4:I4"/>
    <mergeCell ref="A9:C9"/>
    <mergeCell ref="A10:I10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zoomScaleNormal="100" workbookViewId="0">
      <selection activeCell="G9" sqref="G9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36" customWidth="1"/>
    <col min="4" max="4" width="10" customWidth="1"/>
    <col min="5" max="5" width="14" customWidth="1"/>
    <col min="6" max="7" width="10" customWidth="1"/>
    <col min="8" max="8" width="14" customWidth="1"/>
    <col min="9" max="9" width="31.42578125" customWidth="1"/>
  </cols>
  <sheetData>
    <row r="1" spans="1:9" ht="36" customHeight="1" x14ac:dyDescent="0.25">
      <c r="A1" s="40" t="s">
        <v>86</v>
      </c>
      <c r="B1" s="40"/>
      <c r="C1" s="40"/>
      <c r="D1" s="40"/>
      <c r="E1" s="40"/>
      <c r="F1" s="40"/>
      <c r="G1" s="40"/>
      <c r="H1" s="40"/>
      <c r="I1" s="40"/>
    </row>
    <row r="2" spans="1:9" ht="21.75" customHeight="1" x14ac:dyDescent="0.25">
      <c r="A2" s="41" t="s">
        <v>87</v>
      </c>
      <c r="B2" s="41"/>
      <c r="C2" s="41"/>
      <c r="D2" s="41"/>
      <c r="E2" s="41"/>
      <c r="F2" s="41"/>
      <c r="G2" s="41"/>
      <c r="H2" s="41"/>
      <c r="I2" s="41"/>
    </row>
    <row r="3" spans="1:9" ht="18" customHeight="1" x14ac:dyDescent="0.25">
      <c r="A3" s="25" t="s">
        <v>12</v>
      </c>
      <c r="B3" s="4" t="s">
        <v>140</v>
      </c>
      <c r="C3" s="26" t="s">
        <v>14</v>
      </c>
      <c r="D3" s="6" t="s">
        <v>137</v>
      </c>
      <c r="E3" s="27" t="s">
        <v>16</v>
      </c>
      <c r="F3" s="43" t="s">
        <v>138</v>
      </c>
      <c r="G3" s="44"/>
      <c r="H3" s="28" t="s">
        <v>18</v>
      </c>
      <c r="I3" s="29" t="s">
        <v>139</v>
      </c>
    </row>
    <row r="4" spans="1:9" ht="15.75" customHeight="1" x14ac:dyDescent="0.25">
      <c r="A4" s="42" t="s">
        <v>38</v>
      </c>
      <c r="B4" s="42"/>
      <c r="C4" s="42"/>
      <c r="D4" s="42"/>
      <c r="E4" s="42"/>
      <c r="F4" s="42"/>
      <c r="G4" s="42"/>
      <c r="H4" s="42"/>
      <c r="I4" s="42"/>
    </row>
    <row r="5" spans="1:9" ht="29.25" customHeight="1" x14ac:dyDescent="0.25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22</v>
      </c>
      <c r="G5" s="10" t="s">
        <v>143</v>
      </c>
      <c r="H5" s="10" t="s">
        <v>44</v>
      </c>
      <c r="I5" s="10" t="s">
        <v>45</v>
      </c>
    </row>
    <row r="6" spans="1:9" ht="69.75" customHeight="1" x14ac:dyDescent="0.25">
      <c r="A6" s="14" t="s">
        <v>46</v>
      </c>
      <c r="B6" s="30" t="s">
        <v>12</v>
      </c>
      <c r="C6" s="18" t="s">
        <v>88</v>
      </c>
      <c r="D6" s="13">
        <v>5</v>
      </c>
      <c r="E6" s="14">
        <v>3</v>
      </c>
      <c r="F6" s="14">
        <v>5</v>
      </c>
      <c r="G6" s="14">
        <v>6</v>
      </c>
      <c r="H6" s="14">
        <v>60</v>
      </c>
      <c r="I6" s="18" t="s">
        <v>89</v>
      </c>
    </row>
    <row r="7" spans="1:9" ht="80.25" customHeight="1" x14ac:dyDescent="0.25">
      <c r="A7" s="14" t="s">
        <v>49</v>
      </c>
      <c r="B7" s="33" t="s">
        <v>16</v>
      </c>
      <c r="C7" s="18" t="s">
        <v>90</v>
      </c>
      <c r="D7" s="13">
        <v>3</v>
      </c>
      <c r="E7" s="14">
        <v>3</v>
      </c>
      <c r="F7" s="14">
        <v>3</v>
      </c>
      <c r="G7" s="14">
        <v>6</v>
      </c>
      <c r="H7" s="14">
        <v>46</v>
      </c>
      <c r="I7" s="18" t="s">
        <v>91</v>
      </c>
    </row>
    <row r="8" spans="1:9" ht="80.25" customHeight="1" x14ac:dyDescent="0.25">
      <c r="A8" s="14" t="s">
        <v>51</v>
      </c>
      <c r="B8" s="32" t="s">
        <v>14</v>
      </c>
      <c r="C8" s="18" t="s">
        <v>92</v>
      </c>
      <c r="D8" s="13">
        <v>8</v>
      </c>
      <c r="E8" s="14">
        <v>3</v>
      </c>
      <c r="F8" s="14">
        <v>6</v>
      </c>
      <c r="G8" s="14">
        <v>7</v>
      </c>
      <c r="H8" s="14">
        <v>72</v>
      </c>
      <c r="I8" s="18" t="s">
        <v>93</v>
      </c>
    </row>
    <row r="9" spans="1:9" ht="67.5" customHeight="1" x14ac:dyDescent="0.25">
      <c r="A9" s="14" t="s">
        <v>65</v>
      </c>
      <c r="B9" s="32" t="s">
        <v>14</v>
      </c>
      <c r="C9" s="18" t="s">
        <v>94</v>
      </c>
      <c r="D9" s="13">
        <v>5</v>
      </c>
      <c r="E9" s="14">
        <v>3</v>
      </c>
      <c r="F9" s="14">
        <v>4</v>
      </c>
      <c r="G9" s="14">
        <v>6</v>
      </c>
      <c r="H9" s="14">
        <v>48</v>
      </c>
      <c r="I9" s="18" t="s">
        <v>95</v>
      </c>
    </row>
    <row r="10" spans="1:9" ht="67.5" customHeight="1" x14ac:dyDescent="0.25">
      <c r="A10" s="37" t="s">
        <v>54</v>
      </c>
      <c r="B10" s="37"/>
      <c r="C10" s="37"/>
      <c r="D10" s="22">
        <v>21</v>
      </c>
      <c r="E10" s="24"/>
      <c r="F10" s="24"/>
      <c r="G10" s="24"/>
      <c r="H10" s="22">
        <f>SUM(H6:H9)</f>
        <v>226</v>
      </c>
      <c r="I10" s="31" t="s">
        <v>96</v>
      </c>
    </row>
    <row r="11" spans="1:9" ht="13.5" customHeight="1" x14ac:dyDescent="0.25">
      <c r="A11" s="42" t="s">
        <v>56</v>
      </c>
      <c r="B11" s="42"/>
      <c r="C11" s="42"/>
      <c r="D11" s="42"/>
      <c r="E11" s="42"/>
      <c r="F11" s="42"/>
      <c r="G11" s="42"/>
      <c r="H11" s="42"/>
      <c r="I11" s="42"/>
    </row>
  </sheetData>
  <mergeCells count="6">
    <mergeCell ref="A1:I1"/>
    <mergeCell ref="A2:I2"/>
    <mergeCell ref="A4:I4"/>
    <mergeCell ref="A10:C10"/>
    <mergeCell ref="A11:I11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zoomScaleNormal="100" workbookViewId="0">
      <selection activeCell="G9" sqref="G9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36" customWidth="1"/>
    <col min="4" max="4" width="10" customWidth="1"/>
    <col min="5" max="5" width="14" customWidth="1"/>
    <col min="6" max="7" width="10" customWidth="1"/>
    <col min="8" max="8" width="14" customWidth="1"/>
    <col min="9" max="9" width="34.85546875" customWidth="1"/>
  </cols>
  <sheetData>
    <row r="1" spans="1:9" ht="36" customHeight="1" x14ac:dyDescent="0.25">
      <c r="A1" s="40" t="s">
        <v>97</v>
      </c>
      <c r="B1" s="40"/>
      <c r="C1" s="40"/>
      <c r="D1" s="40"/>
      <c r="E1" s="40"/>
      <c r="F1" s="40"/>
      <c r="G1" s="40"/>
      <c r="H1" s="40"/>
      <c r="I1" s="40"/>
    </row>
    <row r="2" spans="1:9" ht="21.75" customHeight="1" x14ac:dyDescent="0.25">
      <c r="A2" s="41" t="s">
        <v>98</v>
      </c>
      <c r="B2" s="41"/>
      <c r="C2" s="41"/>
      <c r="D2" s="41"/>
      <c r="E2" s="41"/>
      <c r="F2" s="41"/>
      <c r="G2" s="41"/>
      <c r="H2" s="41"/>
      <c r="I2" s="41"/>
    </row>
    <row r="3" spans="1:9" ht="18" customHeight="1" x14ac:dyDescent="0.25">
      <c r="A3" s="25" t="s">
        <v>12</v>
      </c>
      <c r="B3" s="4" t="s">
        <v>140</v>
      </c>
      <c r="C3" s="26" t="s">
        <v>14</v>
      </c>
      <c r="D3" s="6" t="s">
        <v>137</v>
      </c>
      <c r="E3" s="27" t="s">
        <v>16</v>
      </c>
      <c r="F3" s="43" t="s">
        <v>138</v>
      </c>
      <c r="G3" s="44"/>
      <c r="H3" s="28" t="s">
        <v>18</v>
      </c>
      <c r="I3" s="29" t="s">
        <v>139</v>
      </c>
    </row>
    <row r="4" spans="1:9" ht="15.75" customHeight="1" x14ac:dyDescent="0.25">
      <c r="A4" s="42" t="s">
        <v>38</v>
      </c>
      <c r="B4" s="42"/>
      <c r="C4" s="42"/>
      <c r="D4" s="42"/>
      <c r="E4" s="42"/>
      <c r="F4" s="42"/>
      <c r="G4" s="42"/>
      <c r="H4" s="42"/>
      <c r="I4" s="42"/>
    </row>
    <row r="5" spans="1:9" ht="30" customHeight="1" x14ac:dyDescent="0.25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22</v>
      </c>
      <c r="G5" s="10" t="s">
        <v>143</v>
      </c>
      <c r="H5" s="10" t="s">
        <v>44</v>
      </c>
      <c r="I5" s="10" t="s">
        <v>45</v>
      </c>
    </row>
    <row r="6" spans="1:9" ht="75" customHeight="1" x14ac:dyDescent="0.25">
      <c r="A6" s="14" t="s">
        <v>46</v>
      </c>
      <c r="B6" s="32" t="s">
        <v>14</v>
      </c>
      <c r="C6" s="18" t="s">
        <v>99</v>
      </c>
      <c r="D6" s="13">
        <v>8</v>
      </c>
      <c r="E6" s="14">
        <v>3</v>
      </c>
      <c r="F6" s="14">
        <v>6</v>
      </c>
      <c r="G6" s="14">
        <v>7</v>
      </c>
      <c r="H6" s="14">
        <v>72</v>
      </c>
      <c r="I6" s="18" t="s">
        <v>100</v>
      </c>
    </row>
    <row r="7" spans="1:9" ht="85.5" customHeight="1" x14ac:dyDescent="0.25">
      <c r="A7" s="14" t="s">
        <v>49</v>
      </c>
      <c r="B7" s="32" t="s">
        <v>14</v>
      </c>
      <c r="C7" s="18" t="s">
        <v>101</v>
      </c>
      <c r="D7" s="13">
        <v>8</v>
      </c>
      <c r="E7" s="14">
        <v>3</v>
      </c>
      <c r="F7" s="14">
        <v>6</v>
      </c>
      <c r="G7" s="14">
        <v>7</v>
      </c>
      <c r="H7" s="14">
        <v>72</v>
      </c>
      <c r="I7" s="18" t="s">
        <v>102</v>
      </c>
    </row>
    <row r="8" spans="1:9" ht="81.75" customHeight="1" x14ac:dyDescent="0.25">
      <c r="A8" s="14" t="s">
        <v>51</v>
      </c>
      <c r="B8" s="33" t="s">
        <v>16</v>
      </c>
      <c r="C8" s="18" t="s">
        <v>103</v>
      </c>
      <c r="D8" s="13">
        <v>5</v>
      </c>
      <c r="E8" s="14">
        <v>3</v>
      </c>
      <c r="F8" s="14">
        <v>4</v>
      </c>
      <c r="G8" s="14">
        <v>6</v>
      </c>
      <c r="H8" s="14">
        <v>48</v>
      </c>
      <c r="I8" s="18" t="s">
        <v>104</v>
      </c>
    </row>
    <row r="9" spans="1:9" ht="80.25" customHeight="1" x14ac:dyDescent="0.25">
      <c r="A9" s="37" t="s">
        <v>54</v>
      </c>
      <c r="B9" s="37"/>
      <c r="C9" s="37"/>
      <c r="D9" s="22">
        <v>21</v>
      </c>
      <c r="E9" s="24"/>
      <c r="F9" s="24"/>
      <c r="G9" s="24"/>
      <c r="H9" s="22">
        <f>SUM(H6:H8)</f>
        <v>192</v>
      </c>
      <c r="I9" s="31" t="s">
        <v>105</v>
      </c>
    </row>
    <row r="10" spans="1:9" ht="13.5" customHeight="1" x14ac:dyDescent="0.25">
      <c r="A10" s="42" t="s">
        <v>56</v>
      </c>
      <c r="B10" s="42"/>
      <c r="C10" s="42"/>
      <c r="D10" s="42"/>
      <c r="E10" s="42"/>
      <c r="F10" s="42"/>
      <c r="G10" s="42"/>
      <c r="H10" s="42"/>
      <c r="I10" s="42"/>
    </row>
  </sheetData>
  <mergeCells count="6">
    <mergeCell ref="A1:I1"/>
    <mergeCell ref="A2:I2"/>
    <mergeCell ref="A4:I4"/>
    <mergeCell ref="A9:C9"/>
    <mergeCell ref="A10:I10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zoomScaleNormal="100" workbookViewId="0">
      <selection activeCell="G10" sqref="G10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36" customWidth="1"/>
    <col min="4" max="4" width="10" customWidth="1"/>
    <col min="5" max="5" width="14" customWidth="1"/>
    <col min="6" max="7" width="10" customWidth="1"/>
    <col min="8" max="8" width="14" customWidth="1"/>
    <col min="9" max="9" width="30" customWidth="1"/>
  </cols>
  <sheetData>
    <row r="1" spans="1:9" ht="36" customHeight="1" x14ac:dyDescent="0.25">
      <c r="A1" s="40" t="s">
        <v>106</v>
      </c>
      <c r="B1" s="40"/>
      <c r="C1" s="40"/>
      <c r="D1" s="40"/>
      <c r="E1" s="40"/>
      <c r="F1" s="40"/>
      <c r="G1" s="40"/>
      <c r="H1" s="40"/>
      <c r="I1" s="40"/>
    </row>
    <row r="2" spans="1:9" ht="21.75" customHeight="1" x14ac:dyDescent="0.25">
      <c r="A2" s="41" t="s">
        <v>107</v>
      </c>
      <c r="B2" s="41"/>
      <c r="C2" s="41"/>
      <c r="D2" s="41"/>
      <c r="E2" s="41"/>
      <c r="F2" s="41"/>
      <c r="G2" s="41"/>
      <c r="H2" s="41"/>
      <c r="I2" s="41"/>
    </row>
    <row r="3" spans="1:9" ht="18" customHeight="1" x14ac:dyDescent="0.25">
      <c r="A3" s="25" t="s">
        <v>12</v>
      </c>
      <c r="B3" s="4" t="s">
        <v>140</v>
      </c>
      <c r="C3" s="26" t="s">
        <v>14</v>
      </c>
      <c r="D3" s="6" t="s">
        <v>137</v>
      </c>
      <c r="E3" s="27" t="s">
        <v>16</v>
      </c>
      <c r="F3" s="43" t="s">
        <v>138</v>
      </c>
      <c r="G3" s="44"/>
      <c r="H3" s="28" t="s">
        <v>18</v>
      </c>
      <c r="I3" s="29" t="s">
        <v>139</v>
      </c>
    </row>
    <row r="4" spans="1:9" ht="15.75" customHeight="1" x14ac:dyDescent="0.25">
      <c r="A4" s="42" t="s">
        <v>38</v>
      </c>
      <c r="B4" s="42"/>
      <c r="C4" s="42"/>
      <c r="D4" s="42"/>
      <c r="E4" s="42"/>
      <c r="F4" s="42"/>
      <c r="G4" s="42"/>
      <c r="H4" s="42"/>
      <c r="I4" s="42"/>
    </row>
    <row r="5" spans="1:9" ht="21.75" customHeight="1" x14ac:dyDescent="0.25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22</v>
      </c>
      <c r="G5" s="10" t="s">
        <v>143</v>
      </c>
      <c r="H5" s="10" t="s">
        <v>44</v>
      </c>
      <c r="I5" s="10" t="s">
        <v>45</v>
      </c>
    </row>
    <row r="6" spans="1:9" ht="75.75" customHeight="1" x14ac:dyDescent="0.25">
      <c r="A6" s="14" t="s">
        <v>46</v>
      </c>
      <c r="B6" s="30" t="s">
        <v>12</v>
      </c>
      <c r="C6" s="18" t="s">
        <v>108</v>
      </c>
      <c r="D6" s="13">
        <v>8</v>
      </c>
      <c r="E6" s="14">
        <v>3</v>
      </c>
      <c r="F6" s="14">
        <v>6</v>
      </c>
      <c r="G6" s="14">
        <v>7</v>
      </c>
      <c r="H6" s="14">
        <v>72</v>
      </c>
      <c r="I6" s="18" t="s">
        <v>109</v>
      </c>
    </row>
    <row r="7" spans="1:9" ht="78.75" customHeight="1" x14ac:dyDescent="0.25">
      <c r="A7" s="14" t="s">
        <v>49</v>
      </c>
      <c r="B7" s="30" t="s">
        <v>12</v>
      </c>
      <c r="C7" s="18" t="s">
        <v>110</v>
      </c>
      <c r="D7" s="13">
        <v>8</v>
      </c>
      <c r="E7" s="14">
        <v>3</v>
      </c>
      <c r="F7" s="14">
        <v>6</v>
      </c>
      <c r="G7" s="14">
        <v>7</v>
      </c>
      <c r="H7" s="14">
        <v>72</v>
      </c>
      <c r="I7" s="18" t="s">
        <v>111</v>
      </c>
    </row>
    <row r="8" spans="1:9" ht="77.25" customHeight="1" x14ac:dyDescent="0.25">
      <c r="A8" s="14" t="s">
        <v>51</v>
      </c>
      <c r="B8" s="32" t="s">
        <v>14</v>
      </c>
      <c r="C8" s="18" t="s">
        <v>112</v>
      </c>
      <c r="D8" s="13">
        <v>5</v>
      </c>
      <c r="E8" s="14">
        <v>3</v>
      </c>
      <c r="F8" s="14">
        <v>4</v>
      </c>
      <c r="G8" s="14">
        <v>6</v>
      </c>
      <c r="H8" s="14">
        <v>48</v>
      </c>
      <c r="I8" s="18" t="s">
        <v>113</v>
      </c>
    </row>
    <row r="9" spans="1:9" ht="77.25" customHeight="1" x14ac:dyDescent="0.25">
      <c r="A9" s="14" t="s">
        <v>65</v>
      </c>
      <c r="B9" s="32" t="s">
        <v>14</v>
      </c>
      <c r="C9" s="18" t="s">
        <v>114</v>
      </c>
      <c r="D9" s="13">
        <v>3</v>
      </c>
      <c r="E9" s="14">
        <v>3</v>
      </c>
      <c r="F9" s="14">
        <v>3</v>
      </c>
      <c r="G9" s="14">
        <v>6</v>
      </c>
      <c r="H9" s="14">
        <v>46</v>
      </c>
      <c r="I9" s="18" t="s">
        <v>115</v>
      </c>
    </row>
    <row r="10" spans="1:9" ht="52.5" customHeight="1" x14ac:dyDescent="0.25">
      <c r="A10" s="37" t="s">
        <v>54</v>
      </c>
      <c r="B10" s="37"/>
      <c r="C10" s="37"/>
      <c r="D10" s="22">
        <v>24</v>
      </c>
      <c r="E10" s="24"/>
      <c r="F10" s="24"/>
      <c r="G10" s="24"/>
      <c r="H10" s="22">
        <f>SUM(H6:H9)</f>
        <v>238</v>
      </c>
      <c r="I10" s="31" t="s">
        <v>116</v>
      </c>
    </row>
    <row r="11" spans="1:9" ht="13.5" customHeight="1" x14ac:dyDescent="0.25">
      <c r="A11" s="42" t="s">
        <v>56</v>
      </c>
      <c r="B11" s="42"/>
      <c r="C11" s="42"/>
      <c r="D11" s="42"/>
      <c r="E11" s="42"/>
      <c r="F11" s="42"/>
      <c r="G11" s="42"/>
      <c r="H11" s="42"/>
      <c r="I11" s="42"/>
    </row>
  </sheetData>
  <mergeCells count="6">
    <mergeCell ref="A1:I1"/>
    <mergeCell ref="A2:I2"/>
    <mergeCell ref="A4:I4"/>
    <mergeCell ref="A10:C10"/>
    <mergeCell ref="A11:I11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zoomScaleNormal="100" workbookViewId="0">
      <selection activeCell="G8" sqref="G8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36" customWidth="1"/>
    <col min="4" max="4" width="10" customWidth="1"/>
    <col min="5" max="5" width="14" customWidth="1"/>
    <col min="6" max="7" width="10" customWidth="1"/>
    <col min="8" max="8" width="14" customWidth="1"/>
    <col min="9" max="9" width="35.28515625" customWidth="1"/>
  </cols>
  <sheetData>
    <row r="1" spans="1:9" ht="36" customHeight="1" x14ac:dyDescent="0.25">
      <c r="A1" s="40" t="s">
        <v>117</v>
      </c>
      <c r="B1" s="40"/>
      <c r="C1" s="40"/>
      <c r="D1" s="40"/>
      <c r="E1" s="40"/>
      <c r="F1" s="40"/>
      <c r="G1" s="40"/>
      <c r="H1" s="40"/>
      <c r="I1" s="40"/>
    </row>
    <row r="2" spans="1:9" ht="21.75" customHeight="1" x14ac:dyDescent="0.25">
      <c r="A2" s="41" t="s">
        <v>118</v>
      </c>
      <c r="B2" s="41"/>
      <c r="C2" s="41"/>
      <c r="D2" s="41"/>
      <c r="E2" s="41"/>
      <c r="F2" s="41"/>
      <c r="G2" s="41"/>
      <c r="H2" s="41"/>
      <c r="I2" s="41"/>
    </row>
    <row r="3" spans="1:9" ht="18" customHeight="1" x14ac:dyDescent="0.25">
      <c r="A3" s="25" t="s">
        <v>12</v>
      </c>
      <c r="B3" s="4" t="s">
        <v>140</v>
      </c>
      <c r="C3" s="26" t="s">
        <v>14</v>
      </c>
      <c r="D3" s="6" t="s">
        <v>137</v>
      </c>
      <c r="E3" s="27" t="s">
        <v>16</v>
      </c>
      <c r="F3" s="43" t="s">
        <v>138</v>
      </c>
      <c r="G3" s="44"/>
      <c r="H3" s="28" t="s">
        <v>18</v>
      </c>
      <c r="I3" s="29" t="s">
        <v>139</v>
      </c>
    </row>
    <row r="4" spans="1:9" ht="15.75" customHeight="1" x14ac:dyDescent="0.25">
      <c r="A4" s="42" t="s">
        <v>38</v>
      </c>
      <c r="B4" s="42"/>
      <c r="C4" s="42"/>
      <c r="D4" s="42"/>
      <c r="E4" s="42"/>
      <c r="F4" s="42"/>
      <c r="G4" s="42"/>
      <c r="H4" s="42"/>
      <c r="I4" s="42"/>
    </row>
    <row r="5" spans="1:9" ht="21.75" customHeight="1" x14ac:dyDescent="0.25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22</v>
      </c>
      <c r="G5" s="10" t="s">
        <v>143</v>
      </c>
      <c r="H5" s="10" t="s">
        <v>44</v>
      </c>
      <c r="I5" s="10" t="s">
        <v>45</v>
      </c>
    </row>
    <row r="6" spans="1:9" ht="72.75" customHeight="1" x14ac:dyDescent="0.25">
      <c r="A6" s="14" t="s">
        <v>46</v>
      </c>
      <c r="B6" s="32" t="s">
        <v>14</v>
      </c>
      <c r="C6" s="18" t="s">
        <v>119</v>
      </c>
      <c r="D6" s="13">
        <v>8</v>
      </c>
      <c r="E6" s="14">
        <v>3</v>
      </c>
      <c r="F6" s="14">
        <v>6</v>
      </c>
      <c r="G6" s="14">
        <v>7</v>
      </c>
      <c r="H6" s="14">
        <v>72</v>
      </c>
      <c r="I6" s="18" t="s">
        <v>120</v>
      </c>
    </row>
    <row r="7" spans="1:9" ht="82.5" customHeight="1" x14ac:dyDescent="0.25">
      <c r="A7" s="14" t="s">
        <v>49</v>
      </c>
      <c r="B7" s="32" t="s">
        <v>14</v>
      </c>
      <c r="C7" s="18" t="s">
        <v>121</v>
      </c>
      <c r="D7" s="13">
        <v>10</v>
      </c>
      <c r="E7" s="14">
        <v>3</v>
      </c>
      <c r="F7" s="14">
        <v>8</v>
      </c>
      <c r="G7" s="14">
        <v>8</v>
      </c>
      <c r="H7" s="14">
        <v>96</v>
      </c>
      <c r="I7" s="18" t="s">
        <v>122</v>
      </c>
    </row>
    <row r="8" spans="1:9" ht="69" customHeight="1" x14ac:dyDescent="0.25">
      <c r="A8" s="14" t="s">
        <v>51</v>
      </c>
      <c r="B8" s="30" t="s">
        <v>12</v>
      </c>
      <c r="C8" s="18" t="s">
        <v>123</v>
      </c>
      <c r="D8" s="13">
        <v>5</v>
      </c>
      <c r="E8" s="14">
        <v>3</v>
      </c>
      <c r="F8" s="14">
        <v>4</v>
      </c>
      <c r="G8" s="14">
        <v>7</v>
      </c>
      <c r="H8" s="14">
        <v>48</v>
      </c>
      <c r="I8" s="18" t="s">
        <v>124</v>
      </c>
    </row>
    <row r="9" spans="1:9" ht="69.75" customHeight="1" x14ac:dyDescent="0.25">
      <c r="A9" s="14" t="s">
        <v>65</v>
      </c>
      <c r="B9" s="34" t="s">
        <v>18</v>
      </c>
      <c r="C9" s="18" t="s">
        <v>125</v>
      </c>
      <c r="D9" s="13">
        <v>3</v>
      </c>
      <c r="E9" s="14">
        <v>3</v>
      </c>
      <c r="F9" s="14">
        <v>2</v>
      </c>
      <c r="G9" s="14">
        <v>6</v>
      </c>
      <c r="H9" s="14">
        <v>24</v>
      </c>
      <c r="I9" s="18" t="s">
        <v>126</v>
      </c>
    </row>
    <row r="10" spans="1:9" ht="60" customHeight="1" x14ac:dyDescent="0.25">
      <c r="A10" s="37" t="s">
        <v>54</v>
      </c>
      <c r="B10" s="37"/>
      <c r="C10" s="37"/>
      <c r="D10" s="22">
        <v>26</v>
      </c>
      <c r="E10" s="24"/>
      <c r="F10" s="24"/>
      <c r="G10" s="24"/>
      <c r="H10" s="22">
        <f>SUM(H6:H9)</f>
        <v>240</v>
      </c>
      <c r="I10" s="31" t="s">
        <v>127</v>
      </c>
    </row>
    <row r="11" spans="1:9" ht="13.5" customHeight="1" x14ac:dyDescent="0.25">
      <c r="A11" s="42" t="s">
        <v>56</v>
      </c>
      <c r="B11" s="42"/>
      <c r="C11" s="42"/>
      <c r="D11" s="42"/>
      <c r="E11" s="42"/>
      <c r="F11" s="42"/>
      <c r="G11" s="42"/>
      <c r="H11" s="42"/>
      <c r="I11" s="42"/>
    </row>
  </sheetData>
  <mergeCells count="6">
    <mergeCell ref="A1:I1"/>
    <mergeCell ref="A2:I2"/>
    <mergeCell ref="A4:I4"/>
    <mergeCell ref="A10:C10"/>
    <mergeCell ref="A11:I11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1"/>
  <sheetViews>
    <sheetView topLeftCell="A21" zoomScaleNormal="100" workbookViewId="0">
      <selection sqref="A1:I1"/>
    </sheetView>
  </sheetViews>
  <sheetFormatPr baseColWidth="10" defaultColWidth="8.7109375" defaultRowHeight="15" x14ac:dyDescent="0.25"/>
  <cols>
    <col min="1" max="1" width="6" customWidth="1"/>
    <col min="2" max="3" width="8" customWidth="1"/>
    <col min="4" max="4" width="36" customWidth="1"/>
    <col min="5" max="5" width="10" customWidth="1"/>
    <col min="6" max="6" width="12" customWidth="1"/>
    <col min="7" max="7" width="10" customWidth="1"/>
    <col min="8" max="9" width="14" customWidth="1"/>
  </cols>
  <sheetData>
    <row r="1" spans="1:9" ht="33.75" customHeight="1" x14ac:dyDescent="0.25">
      <c r="A1" s="40" t="s">
        <v>128</v>
      </c>
      <c r="B1" s="40"/>
      <c r="C1" s="40"/>
      <c r="D1" s="40"/>
      <c r="E1" s="40"/>
      <c r="F1" s="40"/>
      <c r="G1" s="40"/>
      <c r="H1" s="40"/>
      <c r="I1" s="40"/>
    </row>
    <row r="2" spans="1:9" ht="19.5" customHeight="1" x14ac:dyDescent="0.25">
      <c r="A2" s="10" t="s">
        <v>19</v>
      </c>
      <c r="B2" s="10" t="s">
        <v>39</v>
      </c>
      <c r="C2" s="10" t="s">
        <v>40</v>
      </c>
      <c r="D2" s="10" t="s">
        <v>41</v>
      </c>
      <c r="E2" s="10" t="s">
        <v>129</v>
      </c>
      <c r="F2" s="10" t="s">
        <v>130</v>
      </c>
      <c r="G2" s="10" t="s">
        <v>22</v>
      </c>
      <c r="H2" s="10" t="s">
        <v>131</v>
      </c>
      <c r="I2" s="10" t="s">
        <v>132</v>
      </c>
    </row>
    <row r="3" spans="1:9" ht="31.5" customHeight="1" x14ac:dyDescent="0.25">
      <c r="A3" s="19">
        <v>1</v>
      </c>
      <c r="B3" s="19" t="s">
        <v>46</v>
      </c>
      <c r="C3" s="30" t="s">
        <v>12</v>
      </c>
      <c r="D3" s="18" t="s">
        <v>47</v>
      </c>
      <c r="E3" s="13">
        <v>13</v>
      </c>
      <c r="F3" s="18" t="s">
        <v>133</v>
      </c>
      <c r="G3" s="19">
        <v>10</v>
      </c>
      <c r="H3" s="19">
        <v>120</v>
      </c>
      <c r="I3" s="18" t="s">
        <v>134</v>
      </c>
    </row>
    <row r="4" spans="1:9" ht="31.5" customHeight="1" x14ac:dyDescent="0.25">
      <c r="A4" s="14">
        <v>1</v>
      </c>
      <c r="B4" s="14" t="s">
        <v>49</v>
      </c>
      <c r="C4" s="30" t="s">
        <v>12</v>
      </c>
      <c r="D4" s="18" t="s">
        <v>50</v>
      </c>
      <c r="E4" s="13">
        <v>8</v>
      </c>
      <c r="F4" s="12" t="s">
        <v>133</v>
      </c>
      <c r="G4" s="14">
        <v>7</v>
      </c>
      <c r="H4" s="14">
        <v>84</v>
      </c>
      <c r="I4" s="12" t="s">
        <v>134</v>
      </c>
    </row>
    <row r="5" spans="1:9" ht="31.5" customHeight="1" x14ac:dyDescent="0.25">
      <c r="A5" s="19">
        <v>1</v>
      </c>
      <c r="B5" s="19" t="s">
        <v>51</v>
      </c>
      <c r="C5" s="30" t="s">
        <v>12</v>
      </c>
      <c r="D5" s="18" t="s">
        <v>52</v>
      </c>
      <c r="E5" s="13">
        <v>5</v>
      </c>
      <c r="F5" s="18" t="s">
        <v>133</v>
      </c>
      <c r="G5" s="19">
        <v>5</v>
      </c>
      <c r="H5" s="19">
        <v>60</v>
      </c>
      <c r="I5" s="18" t="s">
        <v>134</v>
      </c>
    </row>
    <row r="6" spans="1:9" ht="31.5" customHeight="1" x14ac:dyDescent="0.25">
      <c r="A6" s="14">
        <v>2</v>
      </c>
      <c r="B6" s="14" t="s">
        <v>46</v>
      </c>
      <c r="C6" s="32" t="s">
        <v>14</v>
      </c>
      <c r="D6" s="18" t="s">
        <v>59</v>
      </c>
      <c r="E6" s="13">
        <v>8</v>
      </c>
      <c r="F6" s="12" t="s">
        <v>133</v>
      </c>
      <c r="G6" s="14">
        <v>6</v>
      </c>
      <c r="H6" s="14">
        <v>72</v>
      </c>
      <c r="I6" s="12" t="s">
        <v>134</v>
      </c>
    </row>
    <row r="7" spans="1:9" ht="31.5" customHeight="1" x14ac:dyDescent="0.25">
      <c r="A7" s="19">
        <v>2</v>
      </c>
      <c r="B7" s="19" t="s">
        <v>49</v>
      </c>
      <c r="C7" s="32" t="s">
        <v>14</v>
      </c>
      <c r="D7" s="18" t="s">
        <v>61</v>
      </c>
      <c r="E7" s="13">
        <v>5</v>
      </c>
      <c r="F7" s="18" t="s">
        <v>133</v>
      </c>
      <c r="G7" s="19">
        <v>4</v>
      </c>
      <c r="H7" s="19">
        <v>48</v>
      </c>
      <c r="I7" s="18" t="s">
        <v>134</v>
      </c>
    </row>
    <row r="8" spans="1:9" ht="31.5" customHeight="1" x14ac:dyDescent="0.25">
      <c r="A8" s="14">
        <v>2</v>
      </c>
      <c r="B8" s="14" t="s">
        <v>51</v>
      </c>
      <c r="C8" s="32" t="s">
        <v>14</v>
      </c>
      <c r="D8" s="18" t="s">
        <v>63</v>
      </c>
      <c r="E8" s="13">
        <v>3</v>
      </c>
      <c r="F8" s="12" t="s">
        <v>133</v>
      </c>
      <c r="G8" s="14">
        <v>3</v>
      </c>
      <c r="H8" s="14">
        <v>36</v>
      </c>
      <c r="I8" s="12" t="s">
        <v>134</v>
      </c>
    </row>
    <row r="9" spans="1:9" ht="31.5" customHeight="1" x14ac:dyDescent="0.25">
      <c r="A9" s="19">
        <v>2</v>
      </c>
      <c r="B9" s="19" t="s">
        <v>65</v>
      </c>
      <c r="C9" s="32" t="s">
        <v>14</v>
      </c>
      <c r="D9" s="18" t="s">
        <v>66</v>
      </c>
      <c r="E9" s="13">
        <v>3</v>
      </c>
      <c r="F9" s="18" t="s">
        <v>133</v>
      </c>
      <c r="G9" s="19">
        <v>3</v>
      </c>
      <c r="H9" s="19">
        <v>36</v>
      </c>
      <c r="I9" s="18" t="s">
        <v>134</v>
      </c>
    </row>
    <row r="10" spans="1:9" ht="31.5" customHeight="1" x14ac:dyDescent="0.25">
      <c r="A10" s="14">
        <v>3</v>
      </c>
      <c r="B10" s="14" t="s">
        <v>46</v>
      </c>
      <c r="C10" s="33" t="s">
        <v>16</v>
      </c>
      <c r="D10" s="18" t="s">
        <v>71</v>
      </c>
      <c r="E10" s="13">
        <v>5</v>
      </c>
      <c r="F10" s="12" t="s">
        <v>133</v>
      </c>
      <c r="G10" s="14">
        <v>4</v>
      </c>
      <c r="H10" s="14">
        <v>48</v>
      </c>
      <c r="I10" s="12" t="s">
        <v>134</v>
      </c>
    </row>
    <row r="11" spans="1:9" ht="31.5" customHeight="1" x14ac:dyDescent="0.25">
      <c r="A11" s="19">
        <v>3</v>
      </c>
      <c r="B11" s="19" t="s">
        <v>49</v>
      </c>
      <c r="C11" s="33" t="s">
        <v>16</v>
      </c>
      <c r="D11" s="18" t="s">
        <v>73</v>
      </c>
      <c r="E11" s="13">
        <v>3</v>
      </c>
      <c r="F11" s="18" t="s">
        <v>133</v>
      </c>
      <c r="G11" s="19">
        <v>3</v>
      </c>
      <c r="H11" s="19">
        <v>36</v>
      </c>
      <c r="I11" s="18" t="s">
        <v>134</v>
      </c>
    </row>
    <row r="12" spans="1:9" ht="31.5" customHeight="1" x14ac:dyDescent="0.25">
      <c r="A12" s="14">
        <v>3</v>
      </c>
      <c r="B12" s="14" t="s">
        <v>51</v>
      </c>
      <c r="C12" s="33" t="s">
        <v>16</v>
      </c>
      <c r="D12" s="18" t="s">
        <v>75</v>
      </c>
      <c r="E12" s="13">
        <v>3</v>
      </c>
      <c r="F12" s="12" t="s">
        <v>133</v>
      </c>
      <c r="G12" s="14">
        <v>3</v>
      </c>
      <c r="H12" s="14">
        <v>36</v>
      </c>
      <c r="I12" s="12" t="s">
        <v>134</v>
      </c>
    </row>
    <row r="13" spans="1:9" ht="31.5" customHeight="1" x14ac:dyDescent="0.25">
      <c r="A13" s="19">
        <v>4</v>
      </c>
      <c r="B13" s="19" t="s">
        <v>46</v>
      </c>
      <c r="C13" s="34" t="s">
        <v>18</v>
      </c>
      <c r="D13" s="18" t="s">
        <v>79</v>
      </c>
      <c r="E13" s="13">
        <v>3</v>
      </c>
      <c r="F13" s="18" t="s">
        <v>133</v>
      </c>
      <c r="G13" s="19">
        <v>2</v>
      </c>
      <c r="H13" s="19">
        <v>24</v>
      </c>
      <c r="I13" s="18" t="s">
        <v>134</v>
      </c>
    </row>
    <row r="14" spans="1:9" ht="31.5" customHeight="1" x14ac:dyDescent="0.25">
      <c r="A14" s="14">
        <v>4</v>
      </c>
      <c r="B14" s="14" t="s">
        <v>49</v>
      </c>
      <c r="C14" s="34" t="s">
        <v>18</v>
      </c>
      <c r="D14" s="18" t="s">
        <v>81</v>
      </c>
      <c r="E14" s="13">
        <v>3</v>
      </c>
      <c r="F14" s="12" t="s">
        <v>133</v>
      </c>
      <c r="G14" s="14">
        <v>2</v>
      </c>
      <c r="H14" s="14">
        <v>24</v>
      </c>
      <c r="I14" s="12" t="s">
        <v>134</v>
      </c>
    </row>
    <row r="15" spans="1:9" ht="31.5" customHeight="1" x14ac:dyDescent="0.25">
      <c r="A15" s="19">
        <v>4</v>
      </c>
      <c r="B15" s="19" t="s">
        <v>51</v>
      </c>
      <c r="C15" s="34" t="s">
        <v>18</v>
      </c>
      <c r="D15" s="18" t="s">
        <v>83</v>
      </c>
      <c r="E15" s="13">
        <v>3</v>
      </c>
      <c r="F15" s="18" t="s">
        <v>133</v>
      </c>
      <c r="G15" s="19">
        <v>2</v>
      </c>
      <c r="H15" s="19">
        <v>24</v>
      </c>
      <c r="I15" s="18" t="s">
        <v>134</v>
      </c>
    </row>
    <row r="16" spans="1:9" ht="31.5" customHeight="1" x14ac:dyDescent="0.25">
      <c r="A16" s="14">
        <v>5</v>
      </c>
      <c r="B16" s="14" t="s">
        <v>46</v>
      </c>
      <c r="C16" s="30" t="s">
        <v>12</v>
      </c>
      <c r="D16" s="18" t="s">
        <v>88</v>
      </c>
      <c r="E16" s="13">
        <v>5</v>
      </c>
      <c r="F16" s="12" t="s">
        <v>133</v>
      </c>
      <c r="G16" s="14">
        <v>5</v>
      </c>
      <c r="H16" s="14">
        <v>60</v>
      </c>
      <c r="I16" s="12" t="s">
        <v>134</v>
      </c>
    </row>
    <row r="17" spans="1:9" ht="31.5" customHeight="1" x14ac:dyDescent="0.25">
      <c r="A17" s="19">
        <v>5</v>
      </c>
      <c r="B17" s="19" t="s">
        <v>49</v>
      </c>
      <c r="C17" s="33" t="s">
        <v>16</v>
      </c>
      <c r="D17" s="18" t="s">
        <v>90</v>
      </c>
      <c r="E17" s="13">
        <v>3</v>
      </c>
      <c r="F17" s="18" t="s">
        <v>133</v>
      </c>
      <c r="G17" s="19">
        <v>3</v>
      </c>
      <c r="H17" s="19">
        <v>36</v>
      </c>
      <c r="I17" s="18" t="s">
        <v>134</v>
      </c>
    </row>
    <row r="18" spans="1:9" ht="31.5" customHeight="1" x14ac:dyDescent="0.25">
      <c r="A18" s="14">
        <v>5</v>
      </c>
      <c r="B18" s="14" t="s">
        <v>51</v>
      </c>
      <c r="C18" s="32" t="s">
        <v>14</v>
      </c>
      <c r="D18" s="18" t="s">
        <v>92</v>
      </c>
      <c r="E18" s="13">
        <v>8</v>
      </c>
      <c r="F18" s="12" t="s">
        <v>133</v>
      </c>
      <c r="G18" s="14">
        <v>6</v>
      </c>
      <c r="H18" s="14">
        <v>72</v>
      </c>
      <c r="I18" s="12" t="s">
        <v>134</v>
      </c>
    </row>
    <row r="19" spans="1:9" ht="31.5" customHeight="1" x14ac:dyDescent="0.25">
      <c r="A19" s="19">
        <v>5</v>
      </c>
      <c r="B19" s="19" t="s">
        <v>65</v>
      </c>
      <c r="C19" s="32" t="s">
        <v>14</v>
      </c>
      <c r="D19" s="18" t="s">
        <v>94</v>
      </c>
      <c r="E19" s="13">
        <v>5</v>
      </c>
      <c r="F19" s="18" t="s">
        <v>133</v>
      </c>
      <c r="G19" s="19">
        <v>4</v>
      </c>
      <c r="H19" s="19">
        <v>48</v>
      </c>
      <c r="I19" s="18" t="s">
        <v>134</v>
      </c>
    </row>
    <row r="20" spans="1:9" ht="31.5" customHeight="1" x14ac:dyDescent="0.25">
      <c r="A20" s="14">
        <v>6</v>
      </c>
      <c r="B20" s="14" t="s">
        <v>46</v>
      </c>
      <c r="C20" s="32" t="s">
        <v>14</v>
      </c>
      <c r="D20" s="18" t="s">
        <v>99</v>
      </c>
      <c r="E20" s="13">
        <v>8</v>
      </c>
      <c r="F20" s="12" t="s">
        <v>133</v>
      </c>
      <c r="G20" s="14">
        <v>6</v>
      </c>
      <c r="H20" s="14">
        <v>72</v>
      </c>
      <c r="I20" s="12" t="s">
        <v>134</v>
      </c>
    </row>
    <row r="21" spans="1:9" ht="31.5" customHeight="1" x14ac:dyDescent="0.25">
      <c r="A21" s="19">
        <v>6</v>
      </c>
      <c r="B21" s="19" t="s">
        <v>49</v>
      </c>
      <c r="C21" s="32" t="s">
        <v>14</v>
      </c>
      <c r="D21" s="18" t="s">
        <v>101</v>
      </c>
      <c r="E21" s="13">
        <v>8</v>
      </c>
      <c r="F21" s="18" t="s">
        <v>133</v>
      </c>
      <c r="G21" s="19">
        <v>6</v>
      </c>
      <c r="H21" s="19">
        <v>72</v>
      </c>
      <c r="I21" s="18" t="s">
        <v>134</v>
      </c>
    </row>
    <row r="22" spans="1:9" ht="31.5" customHeight="1" x14ac:dyDescent="0.25">
      <c r="A22" s="14">
        <v>6</v>
      </c>
      <c r="B22" s="14" t="s">
        <v>51</v>
      </c>
      <c r="C22" s="33" t="s">
        <v>16</v>
      </c>
      <c r="D22" s="18" t="s">
        <v>103</v>
      </c>
      <c r="E22" s="13">
        <v>5</v>
      </c>
      <c r="F22" s="12" t="s">
        <v>133</v>
      </c>
      <c r="G22" s="14">
        <v>4</v>
      </c>
      <c r="H22" s="14">
        <v>48</v>
      </c>
      <c r="I22" s="12" t="s">
        <v>134</v>
      </c>
    </row>
    <row r="23" spans="1:9" ht="31.5" customHeight="1" x14ac:dyDescent="0.25">
      <c r="A23" s="19">
        <v>7</v>
      </c>
      <c r="B23" s="19" t="s">
        <v>46</v>
      </c>
      <c r="C23" s="30" t="s">
        <v>12</v>
      </c>
      <c r="D23" s="18" t="s">
        <v>108</v>
      </c>
      <c r="E23" s="13">
        <v>8</v>
      </c>
      <c r="F23" s="18" t="s">
        <v>133</v>
      </c>
      <c r="G23" s="19">
        <v>6</v>
      </c>
      <c r="H23" s="19">
        <v>72</v>
      </c>
      <c r="I23" s="18" t="s">
        <v>134</v>
      </c>
    </row>
    <row r="24" spans="1:9" ht="31.5" customHeight="1" x14ac:dyDescent="0.25">
      <c r="A24" s="14">
        <v>7</v>
      </c>
      <c r="B24" s="14" t="s">
        <v>49</v>
      </c>
      <c r="C24" s="30" t="s">
        <v>12</v>
      </c>
      <c r="D24" s="18" t="s">
        <v>110</v>
      </c>
      <c r="E24" s="13">
        <v>8</v>
      </c>
      <c r="F24" s="12" t="s">
        <v>133</v>
      </c>
      <c r="G24" s="14">
        <v>6</v>
      </c>
      <c r="H24" s="14">
        <v>72</v>
      </c>
      <c r="I24" s="12" t="s">
        <v>134</v>
      </c>
    </row>
    <row r="25" spans="1:9" ht="31.5" customHeight="1" x14ac:dyDescent="0.25">
      <c r="A25" s="19">
        <v>7</v>
      </c>
      <c r="B25" s="19" t="s">
        <v>51</v>
      </c>
      <c r="C25" s="32" t="s">
        <v>14</v>
      </c>
      <c r="D25" s="18" t="s">
        <v>112</v>
      </c>
      <c r="E25" s="13">
        <v>5</v>
      </c>
      <c r="F25" s="18" t="s">
        <v>133</v>
      </c>
      <c r="G25" s="19">
        <v>4</v>
      </c>
      <c r="H25" s="19">
        <v>48</v>
      </c>
      <c r="I25" s="18" t="s">
        <v>134</v>
      </c>
    </row>
    <row r="26" spans="1:9" ht="31.5" customHeight="1" x14ac:dyDescent="0.25">
      <c r="A26" s="14">
        <v>7</v>
      </c>
      <c r="B26" s="14" t="s">
        <v>65</v>
      </c>
      <c r="C26" s="32" t="s">
        <v>14</v>
      </c>
      <c r="D26" s="18" t="s">
        <v>114</v>
      </c>
      <c r="E26" s="13">
        <v>3</v>
      </c>
      <c r="F26" s="12" t="s">
        <v>133</v>
      </c>
      <c r="G26" s="14">
        <v>3</v>
      </c>
      <c r="H26" s="14">
        <v>36</v>
      </c>
      <c r="I26" s="12" t="s">
        <v>134</v>
      </c>
    </row>
    <row r="27" spans="1:9" ht="31.5" customHeight="1" x14ac:dyDescent="0.25">
      <c r="A27" s="19">
        <v>8</v>
      </c>
      <c r="B27" s="19" t="s">
        <v>46</v>
      </c>
      <c r="C27" s="32" t="s">
        <v>14</v>
      </c>
      <c r="D27" s="18" t="s">
        <v>119</v>
      </c>
      <c r="E27" s="13">
        <v>8</v>
      </c>
      <c r="F27" s="18" t="s">
        <v>133</v>
      </c>
      <c r="G27" s="19">
        <v>6</v>
      </c>
      <c r="H27" s="19">
        <v>72</v>
      </c>
      <c r="I27" s="18" t="s">
        <v>134</v>
      </c>
    </row>
    <row r="28" spans="1:9" ht="31.5" customHeight="1" x14ac:dyDescent="0.25">
      <c r="A28" s="14">
        <v>8</v>
      </c>
      <c r="B28" s="14" t="s">
        <v>49</v>
      </c>
      <c r="C28" s="32" t="s">
        <v>14</v>
      </c>
      <c r="D28" s="18" t="s">
        <v>121</v>
      </c>
      <c r="E28" s="13">
        <v>10</v>
      </c>
      <c r="F28" s="12" t="s">
        <v>133</v>
      </c>
      <c r="G28" s="14">
        <v>8</v>
      </c>
      <c r="H28" s="14">
        <v>96</v>
      </c>
      <c r="I28" s="12" t="s">
        <v>134</v>
      </c>
    </row>
    <row r="29" spans="1:9" ht="31.5" customHeight="1" x14ac:dyDescent="0.25">
      <c r="A29" s="19">
        <v>8</v>
      </c>
      <c r="B29" s="19" t="s">
        <v>51</v>
      </c>
      <c r="C29" s="30" t="s">
        <v>12</v>
      </c>
      <c r="D29" s="18" t="s">
        <v>123</v>
      </c>
      <c r="E29" s="13">
        <v>5</v>
      </c>
      <c r="F29" s="18" t="s">
        <v>133</v>
      </c>
      <c r="G29" s="19">
        <v>4</v>
      </c>
      <c r="H29" s="19">
        <v>48</v>
      </c>
      <c r="I29" s="18" t="s">
        <v>134</v>
      </c>
    </row>
    <row r="30" spans="1:9" ht="31.5" customHeight="1" x14ac:dyDescent="0.25">
      <c r="A30" s="14">
        <v>8</v>
      </c>
      <c r="B30" s="14" t="s">
        <v>65</v>
      </c>
      <c r="C30" s="34" t="s">
        <v>18</v>
      </c>
      <c r="D30" s="18" t="s">
        <v>125</v>
      </c>
      <c r="E30" s="13">
        <v>3</v>
      </c>
      <c r="F30" s="12" t="s">
        <v>133</v>
      </c>
      <c r="G30" s="14">
        <v>2</v>
      </c>
      <c r="H30" s="14">
        <v>24</v>
      </c>
      <c r="I30" s="12" t="s">
        <v>134</v>
      </c>
    </row>
    <row r="31" spans="1:9" ht="19.5" customHeight="1" x14ac:dyDescent="0.25">
      <c r="A31" s="37" t="s">
        <v>135</v>
      </c>
      <c r="B31" s="37"/>
      <c r="C31" s="37"/>
      <c r="D31" s="24"/>
      <c r="E31" s="22">
        <f>SUM(E3:E30)</f>
        <v>157</v>
      </c>
      <c r="F31" s="24"/>
      <c r="G31" s="24"/>
      <c r="H31" s="22">
        <f>SUM(H3:H30)</f>
        <v>1524</v>
      </c>
      <c r="I31" s="24"/>
    </row>
  </sheetData>
  <mergeCells count="2">
    <mergeCell ref="A1:I1"/>
    <mergeCell ref="A31:C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 General</vt:lpstr>
      <vt:lpstr>Sprint 1</vt:lpstr>
      <vt:lpstr>Sprint 2</vt:lpstr>
      <vt:lpstr>Sprint 3</vt:lpstr>
      <vt:lpstr>Sprint 4</vt:lpstr>
      <vt:lpstr>Sprint 5</vt:lpstr>
      <vt:lpstr>Sprint 6</vt:lpstr>
      <vt:lpstr>Sprint 7</vt:lpstr>
      <vt:lpstr>Sprint 8</vt:lpstr>
      <vt:lpstr>Backlog CRUD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2026-06-23T22:34:34Z</dcterms:created>
  <dcterms:modified xsi:type="dcterms:W3CDTF">2026-06-26T23:39:40Z</dcterms:modified>
  <dc:language>en-US</dc:language>
</cp:coreProperties>
</file>