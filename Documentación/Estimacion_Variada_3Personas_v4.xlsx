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ENA\Desktop\"/>
    </mc:Choice>
  </mc:AlternateContent>
  <xr:revisionPtr revIDLastSave="0" documentId="13_ncr:1_{DAE83C4C-0446-48BC-A945-64E3EA8F6E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timación Variada 3 Person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C10" i="1"/>
  <c r="B10" i="1"/>
  <c r="E9" i="1"/>
  <c r="F9" i="1" s="1"/>
  <c r="E8" i="1"/>
  <c r="E7" i="1"/>
  <c r="F7" i="1" s="1"/>
  <c r="E6" i="1"/>
  <c r="E5" i="1"/>
  <c r="E4" i="1"/>
  <c r="F4" i="1" s="1"/>
  <c r="E3" i="1"/>
  <c r="E2" i="1"/>
  <c r="F2" i="1" s="1"/>
  <c r="E10" i="1" l="1"/>
  <c r="G2" i="1"/>
  <c r="F3" i="1"/>
  <c r="G4" i="1"/>
  <c r="F5" i="1"/>
  <c r="G5" i="1" s="1"/>
  <c r="G7" i="1"/>
  <c r="F8" i="1"/>
  <c r="G8" i="1" s="1"/>
  <c r="G9" i="1"/>
  <c r="G3" i="1"/>
  <c r="F6" i="1"/>
  <c r="G6" i="1" s="1"/>
  <c r="F10" i="1" l="1"/>
  <c r="G10" i="1"/>
</calcChain>
</file>

<file path=xl/sharedStrings.xml><?xml version="1.0" encoding="utf-8"?>
<sst xmlns="http://schemas.openxmlformats.org/spreadsheetml/2006/main" count="16" uniqueCount="16">
  <si>
    <t>Sprint / Alcance</t>
  </si>
  <si>
    <t>Mano de Obra (3 pers)</t>
  </si>
  <si>
    <t>Infraestructura</t>
  </si>
  <si>
    <t>Licencias</t>
  </si>
  <si>
    <t>Subtotal</t>
  </si>
  <si>
    <t>Imprevistos (10%)</t>
  </si>
  <si>
    <t>Total Sprint</t>
  </si>
  <si>
    <t>Sprint 1 – Registro Base – Productos, Proveedores y Empresas</t>
  </si>
  <si>
    <t>Sprint 2 – Consulta y Búsqueda – Lectura General del Sistema</t>
  </si>
  <si>
    <t>Sprint 3 – Edición – Actualización de Productos, Proveedores y Clientes</t>
  </si>
  <si>
    <t>Sprint 4 – Eliminación – Baja de Registros del Sistema y Logs</t>
  </si>
  <si>
    <t>Sprint 5 – Control de Acceso, Roles y Seguridad (OAuth2/JWT)</t>
  </si>
  <si>
    <t>Sprint 6 – Alertas y Notificaciones Automáticas (Email/SMS/Push)</t>
  </si>
  <si>
    <t>Sprint 7 – Control de Movimientos e Inventario Operativo Crítico</t>
  </si>
  <si>
    <t>Sprint 8 – Reportes, Administración de Turnos y Cierre de Caja</t>
  </si>
  <si>
    <t>TOTAL GENERAL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</si>
</sst>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000000"/>
      <name val="Segoe UI"/>
    </font>
    <font>
      <b/>
      <sz val="11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G15" sqref="G15"/>
    </sheetView>
  </sheetViews>
  <sheetFormatPr baseColWidth="10" defaultColWidth="9.140625" defaultRowHeight="15" x14ac:dyDescent="0.25"/>
  <cols>
    <col min="1" max="1" width="65" customWidth="1"/>
    <col min="2" max="2" width="25" customWidth="1"/>
    <col min="3" max="3" width="19" customWidth="1"/>
    <col min="4" max="5" width="15" customWidth="1"/>
    <col min="6" max="6" width="21" customWidth="1"/>
    <col min="7" max="7" width="16" customWidth="1"/>
  </cols>
  <sheetData>
    <row r="1" spans="1:7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4" customHeight="1" x14ac:dyDescent="0.25">
      <c r="A2" s="2" t="s">
        <v>7</v>
      </c>
      <c r="B2" s="3">
        <v>6000000</v>
      </c>
      <c r="C2" s="3">
        <v>180000</v>
      </c>
      <c r="D2" s="3">
        <v>150000</v>
      </c>
      <c r="E2" s="3">
        <f t="shared" ref="E2:E9" si="0">SUM(B2:D2)</f>
        <v>6330000</v>
      </c>
      <c r="F2" s="3">
        <f t="shared" ref="F2:F9" si="1">E2*0.1</f>
        <v>633000</v>
      </c>
      <c r="G2" s="3">
        <f t="shared" ref="G2:G9" si="2">E2+F2</f>
        <v>6963000</v>
      </c>
    </row>
    <row r="3" spans="1:7" ht="24" customHeight="1" x14ac:dyDescent="0.25">
      <c r="A3" s="4" t="s">
        <v>8</v>
      </c>
      <c r="B3" s="5">
        <v>4500000</v>
      </c>
      <c r="C3" s="5">
        <v>140000</v>
      </c>
      <c r="D3" s="5">
        <v>85000</v>
      </c>
      <c r="E3" s="5">
        <f t="shared" si="0"/>
        <v>4725000</v>
      </c>
      <c r="F3" s="5">
        <f t="shared" si="1"/>
        <v>472500</v>
      </c>
      <c r="G3" s="5">
        <f t="shared" si="2"/>
        <v>5197500</v>
      </c>
    </row>
    <row r="4" spans="1:7" ht="24" customHeight="1" x14ac:dyDescent="0.25">
      <c r="A4" s="2" t="s">
        <v>9</v>
      </c>
      <c r="B4" s="3">
        <v>5200000</v>
      </c>
      <c r="C4" s="3">
        <v>140000</v>
      </c>
      <c r="D4" s="3">
        <v>85000</v>
      </c>
      <c r="E4" s="3">
        <f t="shared" si="0"/>
        <v>5425000</v>
      </c>
      <c r="F4" s="3">
        <f t="shared" si="1"/>
        <v>542500</v>
      </c>
      <c r="G4" s="3">
        <f t="shared" si="2"/>
        <v>5967500</v>
      </c>
    </row>
    <row r="5" spans="1:7" ht="24" customHeight="1" x14ac:dyDescent="0.25">
      <c r="A5" s="4" t="s">
        <v>10</v>
      </c>
      <c r="B5" s="5">
        <v>3800000</v>
      </c>
      <c r="C5" s="5">
        <v>140000</v>
      </c>
      <c r="D5" s="5">
        <v>85000</v>
      </c>
      <c r="E5" s="5">
        <f t="shared" si="0"/>
        <v>4025000</v>
      </c>
      <c r="F5" s="5">
        <f t="shared" si="1"/>
        <v>402500</v>
      </c>
      <c r="G5" s="5">
        <f t="shared" si="2"/>
        <v>4427500</v>
      </c>
    </row>
    <row r="6" spans="1:7" ht="24" customHeight="1" x14ac:dyDescent="0.25">
      <c r="A6" s="2" t="s">
        <v>11</v>
      </c>
      <c r="B6" s="3">
        <v>6000000</v>
      </c>
      <c r="C6" s="3">
        <v>250000</v>
      </c>
      <c r="D6" s="3">
        <v>320000</v>
      </c>
      <c r="E6" s="3">
        <f t="shared" si="0"/>
        <v>6570000</v>
      </c>
      <c r="F6" s="3">
        <f t="shared" si="1"/>
        <v>657000</v>
      </c>
      <c r="G6" s="3">
        <f t="shared" si="2"/>
        <v>7227000</v>
      </c>
    </row>
    <row r="7" spans="1:7" ht="24" customHeight="1" x14ac:dyDescent="0.25">
      <c r="A7" s="4" t="s">
        <v>12</v>
      </c>
      <c r="B7" s="5">
        <v>6000000</v>
      </c>
      <c r="C7" s="5">
        <v>180000</v>
      </c>
      <c r="D7" s="5">
        <v>210000</v>
      </c>
      <c r="E7" s="5">
        <f t="shared" si="0"/>
        <v>6390000</v>
      </c>
      <c r="F7" s="5">
        <f t="shared" si="1"/>
        <v>639000</v>
      </c>
      <c r="G7" s="5">
        <f t="shared" si="2"/>
        <v>7029000</v>
      </c>
    </row>
    <row r="8" spans="1:7" ht="24" customHeight="1" x14ac:dyDescent="0.25">
      <c r="A8" s="2" t="s">
        <v>13</v>
      </c>
      <c r="B8" s="3">
        <v>8800000</v>
      </c>
      <c r="C8" s="3">
        <v>310000</v>
      </c>
      <c r="D8" s="3">
        <v>150000</v>
      </c>
      <c r="E8" s="3">
        <f t="shared" si="0"/>
        <v>9260000</v>
      </c>
      <c r="F8" s="3">
        <f t="shared" si="1"/>
        <v>926000</v>
      </c>
      <c r="G8" s="3">
        <f t="shared" si="2"/>
        <v>10186000</v>
      </c>
    </row>
    <row r="9" spans="1:7" ht="24" customHeight="1" x14ac:dyDescent="0.25">
      <c r="A9" s="4" t="s">
        <v>14</v>
      </c>
      <c r="B9" s="5">
        <v>7000000</v>
      </c>
      <c r="C9" s="5">
        <v>250000</v>
      </c>
      <c r="D9" s="5">
        <v>250000</v>
      </c>
      <c r="E9" s="5">
        <f t="shared" si="0"/>
        <v>7500000</v>
      </c>
      <c r="F9" s="5">
        <f t="shared" si="1"/>
        <v>750000</v>
      </c>
      <c r="G9" s="5">
        <f t="shared" si="2"/>
        <v>8250000</v>
      </c>
    </row>
    <row r="10" spans="1:7" ht="24" customHeight="1" x14ac:dyDescent="0.25">
      <c r="A10" s="6" t="s">
        <v>15</v>
      </c>
      <c r="B10" s="7">
        <f t="shared" ref="B10:G10" si="3">SUM(B2:B9)</f>
        <v>47300000</v>
      </c>
      <c r="C10" s="7">
        <f t="shared" si="3"/>
        <v>1590000</v>
      </c>
      <c r="D10" s="7">
        <f t="shared" si="3"/>
        <v>1335000</v>
      </c>
      <c r="E10" s="7">
        <f t="shared" si="3"/>
        <v>50225000</v>
      </c>
      <c r="F10" s="7">
        <f t="shared" si="3"/>
        <v>5022500</v>
      </c>
      <c r="G10" s="7">
        <f t="shared" si="3"/>
        <v>55247500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Estimación Variada 3 Personas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42_93031079327</cp:lastModifiedBy>
  <dcterms:created xsi:type="dcterms:W3CDTF">2026-06-24T13:29:06Z</dcterms:created>
  <dcterms:modified xsi:type="dcterms:W3CDTF">2026-06-24T13:36:32Z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2026-06-24T13:30:02Z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7f92a365-0fec-4b11-9977-e70cd62baec2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